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it\OneDrive\Desktop\Student_IO_system\"/>
    </mc:Choice>
  </mc:AlternateContent>
  <xr:revisionPtr revIDLastSave="0" documentId="13_ncr:1_{EE1903B8-19F0-4ADE-960B-DFBEE4D483CE}" xr6:coauthVersionLast="47" xr6:coauthVersionMax="47" xr10:uidLastSave="{00000000-0000-0000-0000-000000000000}"/>
  <bookViews>
    <workbookView xWindow="-108" yWindow="-108" windowWidth="23256" windowHeight="13176" tabRatio="593" firstSheet="3" activeTab="3" xr2:uid="{2F8A8668-12ED-4DE8-9699-47D93A5CB942}"/>
  </bookViews>
  <sheets>
    <sheet name="Settings" sheetId="1" state="veryHidden" r:id="rId1"/>
    <sheet name="Student_Entry" sheetId="2" state="veryHidden" r:id="rId2"/>
    <sheet name="Student_Data" sheetId="3" state="veryHidden" r:id="rId3"/>
    <sheet name="Home" sheetId="4" r:id="rId4"/>
    <sheet name="Dashboard" sheetId="5" r:id="rId5"/>
    <sheet name="Pivot" sheetId="6" r:id="rId6"/>
  </sheets>
  <functionGroups builtInGroupCount="19"/>
  <definedNames>
    <definedName name="_xlnm._FilterDatabase" localSheetId="2" hidden="1">Student_Data!$A$1:$F$37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B4" i="5"/>
  <c r="B2" i="5"/>
  <c r="B5" i="5" l="1"/>
</calcChain>
</file>

<file path=xl/sharedStrings.xml><?xml version="1.0" encoding="utf-8"?>
<sst xmlns="http://schemas.openxmlformats.org/spreadsheetml/2006/main" count="451" uniqueCount="237">
  <si>
    <t>Student_ID</t>
  </si>
  <si>
    <t>Name</t>
  </si>
  <si>
    <t>Mobile</t>
  </si>
  <si>
    <t>Course</t>
  </si>
  <si>
    <t>Address</t>
  </si>
  <si>
    <t>Status</t>
  </si>
  <si>
    <t>SrNo</t>
  </si>
  <si>
    <t>Date</t>
  </si>
  <si>
    <t>In_Time</t>
  </si>
  <si>
    <t>Out_Time</t>
  </si>
  <si>
    <t>LastStudentID</t>
  </si>
  <si>
    <t>Course List</t>
  </si>
  <si>
    <t>AUTOMOTIVE CAD TECHNICIAN</t>
  </si>
  <si>
    <t>AUTOMOTIVE ASSEMBLY TECHNICIAN</t>
  </si>
  <si>
    <t>ELECTRIC VEHICLE PRODUCT DESIGN ENGINEER</t>
  </si>
  <si>
    <t>ASSEMBLY OPERATOR - RAC</t>
  </si>
  <si>
    <t>CLOUD APPLICATION DEVELOPER</t>
  </si>
  <si>
    <t>ANALYST END POINT SECURITY CYBERSECURITY</t>
  </si>
  <si>
    <t>ANALYST COMPLIANCE AUDIT- CYBERSECURITY</t>
  </si>
  <si>
    <t>IOT - NETWORK SPECIALIST</t>
  </si>
  <si>
    <t>IOT - DOMAIN SPECIALIST</t>
  </si>
  <si>
    <t>AI MACHINE LEARNING ENGINEER</t>
  </si>
  <si>
    <t>AI - BUSINESS INTELLIGENCE ANALYSIS</t>
  </si>
  <si>
    <t>Total Students</t>
  </si>
  <si>
    <t>Today's IN Count</t>
  </si>
  <si>
    <t>Today's OUT Count</t>
  </si>
  <si>
    <t>Today's Total Entry's</t>
  </si>
  <si>
    <t>ST1006</t>
  </si>
  <si>
    <t>Aarav Rajesh Sharma</t>
  </si>
  <si>
    <t>Pune, Maharashtra</t>
  </si>
  <si>
    <t>OUT</t>
  </si>
  <si>
    <t>ST1001</t>
  </si>
  <si>
    <t>ST1002</t>
  </si>
  <si>
    <t>Ananya Sunil Patil</t>
  </si>
  <si>
    <t>Nashik, Maharashtra</t>
  </si>
  <si>
    <t>ST1003</t>
  </si>
  <si>
    <t>Vivaan Sanjay Gupta</t>
  </si>
  <si>
    <t>Nagpur, Maharashtra</t>
  </si>
  <si>
    <t>ST1004</t>
  </si>
  <si>
    <t>Diya Mahesh Joshi</t>
  </si>
  <si>
    <t>Mumbai, Maharashtra</t>
  </si>
  <si>
    <t>ST1005</t>
  </si>
  <si>
    <t>Aditya Prakash Kulkarni</t>
  </si>
  <si>
    <t>Chhatrapati Sambhajinagar, Maharashtra</t>
  </si>
  <si>
    <t>Isha Vijay Deshmukh</t>
  </si>
  <si>
    <t>Jalna, Maharashtra</t>
  </si>
  <si>
    <t>ST1007</t>
  </si>
  <si>
    <t>Arjun Rakesh Mehta</t>
  </si>
  <si>
    <t>ST1008</t>
  </si>
  <si>
    <t>Kavya Manoj Singh</t>
  </si>
  <si>
    <t>Kolhapur, Maharashtra</t>
  </si>
  <si>
    <t>ST1009</t>
  </si>
  <si>
    <t>Rohan Suresh Nair</t>
  </si>
  <si>
    <t>Solapur, Maharashtra</t>
  </si>
  <si>
    <t>ST1010</t>
  </si>
  <si>
    <t>Sneha Dinesh Verma</t>
  </si>
  <si>
    <t>Satara, Maharashtra</t>
  </si>
  <si>
    <t>ST1011</t>
  </si>
  <si>
    <t>Karan Ashok Chavan</t>
  </si>
  <si>
    <t>Sangli, Maharashtra</t>
  </si>
  <si>
    <t>ST1012</t>
  </si>
  <si>
    <t>Priya Ramesh Yadav</t>
  </si>
  <si>
    <t>Ahmednagar, Maharashtra</t>
  </si>
  <si>
    <t>ST1013</t>
  </si>
  <si>
    <t>Rahul Dilip More</t>
  </si>
  <si>
    <t>Beed, Maharashtra</t>
  </si>
  <si>
    <t>ST1014</t>
  </si>
  <si>
    <t>Neha Anil Mishra</t>
  </si>
  <si>
    <t>Latur, Maharashtra</t>
  </si>
  <si>
    <t>ST1015</t>
  </si>
  <si>
    <t>Siddharth Mukesh Jain</t>
  </si>
  <si>
    <t>Akola, Maharashtra</t>
  </si>
  <si>
    <t>ST1016</t>
  </si>
  <si>
    <t>Pooja Shrikant Pawar</t>
  </si>
  <si>
    <t>Dharashiv, Maharashtra</t>
  </si>
  <si>
    <t>ST1017</t>
  </si>
  <si>
    <t>Akash Chandrakant Shinde</t>
  </si>
  <si>
    <t>ST1018</t>
  </si>
  <si>
    <t>Riya Amit Kapoor</t>
  </si>
  <si>
    <t>Thane, Maharashtra</t>
  </si>
  <si>
    <t>ST1019</t>
  </si>
  <si>
    <t>Nikhil Vinod Bhosale</t>
  </si>
  <si>
    <t>Jalgaon, Maharashtra</t>
  </si>
  <si>
    <t>ST1020</t>
  </si>
  <si>
    <t>Aditi Milind Kulkarni</t>
  </si>
  <si>
    <t>Amravati, Maharashtra</t>
  </si>
  <si>
    <t>ST1021</t>
  </si>
  <si>
    <t>Yash Ganesh Patil</t>
  </si>
  <si>
    <t>ST1022</t>
  </si>
  <si>
    <t>Meera Krishnan Iyer</t>
  </si>
  <si>
    <t>Navi Mumbai, Maharashtra</t>
  </si>
  <si>
    <t>ST1023</t>
  </si>
  <si>
    <t>Omkar Shashikant Jadhav</t>
  </si>
  <si>
    <t>Parbhani, Maharashtra</t>
  </si>
  <si>
    <t>ST1024</t>
  </si>
  <si>
    <t>Shruti Ravindra Naik</t>
  </si>
  <si>
    <t>Nanded, Maharashtra</t>
  </si>
  <si>
    <t>ST1025</t>
  </si>
  <si>
    <t>Harsh Deepak Agrawal</t>
  </si>
  <si>
    <t>Wardha, Maharashtra</t>
  </si>
  <si>
    <t>ST1026</t>
  </si>
  <si>
    <t>Sanika Uday Gokhale</t>
  </si>
  <si>
    <t>Chandrapur, Maharashtra</t>
  </si>
  <si>
    <t>ST1027</t>
  </si>
  <si>
    <t>Atharva Baban Salunkhe</t>
  </si>
  <si>
    <t>Ratnagiri, Maharashtra</t>
  </si>
  <si>
    <t>ST1028</t>
  </si>
  <si>
    <t>Tanvi Pravin Bendre</t>
  </si>
  <si>
    <t>Sindhudurg, Maharashtra</t>
  </si>
  <si>
    <t>ST1029</t>
  </si>
  <si>
    <t>Devendra Haribhau Kale</t>
  </si>
  <si>
    <t>Hingoli, Maharashtra</t>
  </si>
  <si>
    <t>ST1030</t>
  </si>
  <si>
    <t>Sakshi Narendra Thakur</t>
  </si>
  <si>
    <t>Washim, Maharashtra</t>
  </si>
  <si>
    <t>ST1031</t>
  </si>
  <si>
    <t>Pranav Santosh Raut</t>
  </si>
  <si>
    <t>Buldhana, Maharashtra</t>
  </si>
  <si>
    <t>ST1032</t>
  </si>
  <si>
    <t>Mansi Rajendra Choudhary</t>
  </si>
  <si>
    <t xml:space="preserve">Yavatmal, Maharashtra </t>
  </si>
  <si>
    <t>ST1033</t>
  </si>
  <si>
    <t>Tushar Subhash Khedekar</t>
  </si>
  <si>
    <t>Gondia, Maharashtra</t>
  </si>
  <si>
    <t>ST1034</t>
  </si>
  <si>
    <t>Nandini Srinivas Rao</t>
  </si>
  <si>
    <t>Gadchiroli, Maharashtra</t>
  </si>
  <si>
    <t>ST1035</t>
  </si>
  <si>
    <t>Abhishek Omprakash Tiwari</t>
  </si>
  <si>
    <t>Dhule, Maharashtra</t>
  </si>
  <si>
    <t>ST1036</t>
  </si>
  <si>
    <t>Muskan Imran Sheikh</t>
  </si>
  <si>
    <t>ST1037</t>
  </si>
  <si>
    <t>Rohit Sunil Jagtap</t>
  </si>
  <si>
    <t>ST1038</t>
  </si>
  <si>
    <t>Vaishnavi Prakash Pawar</t>
  </si>
  <si>
    <t>Ahilya Nagar, Maharashtra</t>
  </si>
  <si>
    <t>ST1039</t>
  </si>
  <si>
    <t>Saurabh Mahadev Shinde</t>
  </si>
  <si>
    <t>ST1040</t>
  </si>
  <si>
    <t>Snehal Vijay More</t>
  </si>
  <si>
    <t>ST1041</t>
  </si>
  <si>
    <t>Omkar Dnyaneshwar Bhosale</t>
  </si>
  <si>
    <t>ST1042</t>
  </si>
  <si>
    <t>Pooja Ashok Kale</t>
  </si>
  <si>
    <t>ST1043</t>
  </si>
  <si>
    <t>Tejas Shrikant Patil</t>
  </si>
  <si>
    <t>ST1044</t>
  </si>
  <si>
    <t>Aishwarya Ramesh Chavan</t>
  </si>
  <si>
    <t>ST1045</t>
  </si>
  <si>
    <t>Nilesh Anil Ghadge</t>
  </si>
  <si>
    <t>ST1046</t>
  </si>
  <si>
    <t>Prajakta Santosh Kadam</t>
  </si>
  <si>
    <t>ST1047</t>
  </si>
  <si>
    <t>Shubham Rajendra Gaikwad</t>
  </si>
  <si>
    <t>ST1048</t>
  </si>
  <si>
    <t>Komal Suresh Wagh</t>
  </si>
  <si>
    <t>ST1049</t>
  </si>
  <si>
    <t>Abhijit Dilip Thorat</t>
  </si>
  <si>
    <t>ST1050</t>
  </si>
  <si>
    <t>Rutuja Milind Jadhav</t>
  </si>
  <si>
    <t>ST1051</t>
  </si>
  <si>
    <t>Harshal Chandrakant Salve</t>
  </si>
  <si>
    <t>ST1052</t>
  </si>
  <si>
    <t>Sakshi Vinod Shingare</t>
  </si>
  <si>
    <t>ST1053</t>
  </si>
  <si>
    <t>Ganesh Baban Dhumal</t>
  </si>
  <si>
    <t>ST1054</t>
  </si>
  <si>
    <t>Nikita Subhash Bhise</t>
  </si>
  <si>
    <t>ST1055</t>
  </si>
  <si>
    <t>Amol Pandurang Kharat</t>
  </si>
  <si>
    <t>ST1056</t>
  </si>
  <si>
    <t>Shraddha Sharad Gorde</t>
  </si>
  <si>
    <t>ST1057</t>
  </si>
  <si>
    <t>Pratik Shivaji Tupe</t>
  </si>
  <si>
    <t>ST1058</t>
  </si>
  <si>
    <t>Minal Ravindra Doke</t>
  </si>
  <si>
    <t>ST1059</t>
  </si>
  <si>
    <t>Vishal Pravin Kokate</t>
  </si>
  <si>
    <t>ST1060</t>
  </si>
  <si>
    <t>Neha Kishor Dhage</t>
  </si>
  <si>
    <t>ST1061</t>
  </si>
  <si>
    <t>Akshay Dattatraya Borude</t>
  </si>
  <si>
    <t>ST1062</t>
  </si>
  <si>
    <t>Priti Balasaheb Nagare</t>
  </si>
  <si>
    <t>ST1063</t>
  </si>
  <si>
    <t>Chetan Hanuman Gawali</t>
  </si>
  <si>
    <t>ST1064</t>
  </si>
  <si>
    <t>Sonali Vilas Shelke</t>
  </si>
  <si>
    <t>ST1065</t>
  </si>
  <si>
    <t>Swapnil Sopan Raut</t>
  </si>
  <si>
    <t>ST1066</t>
  </si>
  <si>
    <t>Bhagyashree Eknath Pansare</t>
  </si>
  <si>
    <t>ST1067</t>
  </si>
  <si>
    <t>Kunal Bharat Pawale</t>
  </si>
  <si>
    <t>ST1068</t>
  </si>
  <si>
    <t>Monika Nitin Kute</t>
  </si>
  <si>
    <t>ST1069</t>
  </si>
  <si>
    <t>Yogesh Tukaram Dhavale</t>
  </si>
  <si>
    <t>ST1070</t>
  </si>
  <si>
    <t>Reshma Arun Kolhe</t>
  </si>
  <si>
    <t>ST1071</t>
  </si>
  <si>
    <t>Aditya Ashok Londhe</t>
  </si>
  <si>
    <t>ST1072</t>
  </si>
  <si>
    <t>Ruchita Mahendra Jare</t>
  </si>
  <si>
    <t>ST1073</t>
  </si>
  <si>
    <t>Sanket Vijay Ghule</t>
  </si>
  <si>
    <t>ST1074</t>
  </si>
  <si>
    <t>Shweta Sanjay Shelar</t>
  </si>
  <si>
    <t>ST1075</t>
  </si>
  <si>
    <t>Ajinkya Narayan Wankhede</t>
  </si>
  <si>
    <t>ST1076</t>
  </si>
  <si>
    <t>Pooja Dnyaneshwar Karale</t>
  </si>
  <si>
    <t>ST1077</t>
  </si>
  <si>
    <t>Prathamesh Dnyaneshwar Jadhav</t>
  </si>
  <si>
    <t>Hadapsar, Pune</t>
  </si>
  <si>
    <t>ST1078</t>
  </si>
  <si>
    <t>Vaishnavi Ashok Pawar</t>
  </si>
  <si>
    <t>Wagholi, Pune</t>
  </si>
  <si>
    <t>ST1079</t>
  </si>
  <si>
    <t>Omkar Rajendra Kale</t>
  </si>
  <si>
    <t>Chakan, Pune</t>
  </si>
  <si>
    <t>ST1080</t>
  </si>
  <si>
    <t>Snehal Sunil Ghadge</t>
  </si>
  <si>
    <t>Kharadi, Pune</t>
  </si>
  <si>
    <t>ST1081</t>
  </si>
  <si>
    <t>Tejas Vilas Shinde</t>
  </si>
  <si>
    <t>Hinjawadi, Pune</t>
  </si>
  <si>
    <t>ST1082</t>
  </si>
  <si>
    <t>Aditi Prakash More</t>
  </si>
  <si>
    <t>Baner, Pune</t>
  </si>
  <si>
    <t>ST1083</t>
  </si>
  <si>
    <t>Sanket Dattatraya Chavan</t>
  </si>
  <si>
    <t>Wakad, Pune</t>
  </si>
  <si>
    <t>ST1084</t>
  </si>
  <si>
    <t>Rutuja Mahendra Gaikwad</t>
  </si>
  <si>
    <t>Pimpri, 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</si>
</sst>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[$-10409]hh\.mm\ AM/PM;@"/>
  </numFmts>
  <fonts count="9" x14ac:knownFonts="1">
    <font>
      <sz val="11"/>
      <color theme="1"/>
      <name val="Candara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Tahoma"/>
      <family val="2"/>
    </font>
    <font>
      <b/>
      <sz val="11"/>
      <color theme="1"/>
      <name val="Times New Roman"/>
      <family val="1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64" fontId="2" fillId="0" borderId="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435EB"/>
      <color rgb="FF75C4E7"/>
      <color rgb="FF9900CC"/>
      <color rgb="FF0CE7F2"/>
      <color rgb="FF0F4259"/>
      <color rgb="FF062542"/>
      <color rgb="FF45C2E9"/>
      <color rgb="FF0EA7EC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3826</xdr:colOff>
      <xdr:row>0</xdr:row>
      <xdr:rowOff>2513</xdr:rowOff>
    </xdr:from>
    <xdr:to>
      <xdr:col>40</xdr:col>
      <xdr:colOff>3826</xdr:colOff>
      <xdr:row>62</xdr:row>
      <xdr:rowOff>2513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D2B6AA2-A063-822F-A99E-9DA2BE3E88E4}"/>
            </a:ext>
          </a:extLst>
        </xdr:cNvPr>
        <xdr:cNvSpPr/>
      </xdr:nvSpPr>
      <xdr:spPr>
        <a:xfrm>
          <a:off x="3826" y="2513"/>
          <a:ext cx="24355063" cy="11362481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-28225</xdr:colOff>
      <xdr:row>0</xdr:row>
      <xdr:rowOff>0</xdr:rowOff>
    </xdr:from>
    <xdr:to>
      <xdr:col>38</xdr:col>
      <xdr:colOff>250366</xdr:colOff>
      <xdr:row>58</xdr:row>
      <xdr:rowOff>36114</xdr:rowOff>
    </xdr:to>
    <xdr:sp macro="" textlink="">
      <xdr:nvSpPr>
        <xdr:cNvPr id="28" name="Right Triangle 27">
          <a:extLst>
            <a:ext uri="{FF2B5EF4-FFF2-40B4-BE49-F238E27FC236}">
              <a16:creationId xmlns:a16="http://schemas.microsoft.com/office/drawing/2014/main" id="{401625E2-5C97-4CE9-6933-E6F6CA7BE0B8}"/>
            </a:ext>
          </a:extLst>
        </xdr:cNvPr>
        <xdr:cNvSpPr/>
      </xdr:nvSpPr>
      <xdr:spPr>
        <a:xfrm rot="5400000">
          <a:off x="6171292" y="-6199517"/>
          <a:ext cx="10828161" cy="23227196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3923419"/>
            <a:gd name="csY0" fmla="*/ 5404937 h 5404937"/>
            <a:gd name="csX1" fmla="*/ 3 w 3923419"/>
            <a:gd name="csY1" fmla="*/ 130808 h 5404937"/>
            <a:gd name="csX2" fmla="*/ 549742 w 3923419"/>
            <a:gd name="csY2" fmla="*/ 1502407 h 5404937"/>
            <a:gd name="csX3" fmla="*/ 2128160 w 3923419"/>
            <a:gd name="csY3" fmla="*/ 2493008 h 5404937"/>
            <a:gd name="csX4" fmla="*/ 2367649 w 3923419"/>
            <a:gd name="csY4" fmla="*/ 4506864 h 5404937"/>
            <a:gd name="csX5" fmla="*/ 3855278 w 3923419"/>
            <a:gd name="csY5" fmla="*/ 5356914 h 5404937"/>
            <a:gd name="csX6" fmla="*/ 0 w 3923419"/>
            <a:gd name="csY6" fmla="*/ 5404937 h 5404937"/>
            <a:gd name="csX0" fmla="*/ 0 w 3478162"/>
            <a:gd name="csY0" fmla="*/ 5404937 h 5404937"/>
            <a:gd name="csX1" fmla="*/ 3 w 3478162"/>
            <a:gd name="csY1" fmla="*/ 130808 h 5404937"/>
            <a:gd name="csX2" fmla="*/ 549742 w 3478162"/>
            <a:gd name="csY2" fmla="*/ 1502407 h 5404937"/>
            <a:gd name="csX3" fmla="*/ 2128160 w 3478162"/>
            <a:gd name="csY3" fmla="*/ 2493008 h 5404937"/>
            <a:gd name="csX4" fmla="*/ 2367649 w 3478162"/>
            <a:gd name="csY4" fmla="*/ 4506864 h 5404937"/>
            <a:gd name="csX5" fmla="*/ 3392783 w 3478162"/>
            <a:gd name="csY5" fmla="*/ 5316574 h 5404937"/>
            <a:gd name="csX6" fmla="*/ 0 w 3478162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845114"/>
            <a:gd name="csY0" fmla="*/ 5404937 h 5444928"/>
            <a:gd name="csX1" fmla="*/ 3 w 3845114"/>
            <a:gd name="csY1" fmla="*/ 130808 h 5444928"/>
            <a:gd name="csX2" fmla="*/ 549742 w 3845114"/>
            <a:gd name="csY2" fmla="*/ 1502407 h 5444928"/>
            <a:gd name="csX3" fmla="*/ 2128160 w 3845114"/>
            <a:gd name="csY3" fmla="*/ 2493008 h 5444928"/>
            <a:gd name="csX4" fmla="*/ 2367649 w 3845114"/>
            <a:gd name="csY4" fmla="*/ 4506864 h 5444928"/>
            <a:gd name="csX5" fmla="*/ 3845114 w 3845114"/>
            <a:gd name="csY5" fmla="*/ 5444928 h 5444928"/>
            <a:gd name="csX6" fmla="*/ 0 w 3845114"/>
            <a:gd name="csY6" fmla="*/ 5404937 h 54449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3845114" h="5444928">
              <a:moveTo>
                <a:pt x="0" y="5404937"/>
              </a:moveTo>
              <a:lnTo>
                <a:pt x="3" y="130808"/>
              </a:lnTo>
              <a:cubicBezTo>
                <a:pt x="102512" y="-457928"/>
                <a:pt x="195049" y="1108707"/>
                <a:pt x="549742" y="1502407"/>
              </a:cubicBezTo>
              <a:cubicBezTo>
                <a:pt x="904435" y="1896107"/>
                <a:pt x="1825175" y="1992265"/>
                <a:pt x="2128160" y="2493008"/>
              </a:cubicBezTo>
              <a:cubicBezTo>
                <a:pt x="2431145" y="2993751"/>
                <a:pt x="2081490" y="4014877"/>
                <a:pt x="2367649" y="4506864"/>
              </a:cubicBezTo>
              <a:cubicBezTo>
                <a:pt x="2653808" y="4998851"/>
                <a:pt x="3565209" y="5319415"/>
                <a:pt x="3845114" y="5444928"/>
              </a:cubicBezTo>
              <a:lnTo>
                <a:pt x="0" y="5404937"/>
              </a:lnTo>
              <a:close/>
            </a:path>
          </a:pathLst>
        </a:cu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32883</xdr:colOff>
      <xdr:row>0</xdr:row>
      <xdr:rowOff>-1</xdr:rowOff>
    </xdr:from>
    <xdr:to>
      <xdr:col>32</xdr:col>
      <xdr:colOff>201304</xdr:colOff>
      <xdr:row>52</xdr:row>
      <xdr:rowOff>117670</xdr:rowOff>
    </xdr:to>
    <xdr:sp macro="" textlink="">
      <xdr:nvSpPr>
        <xdr:cNvPr id="33" name="Right Triangle 27">
          <a:extLst>
            <a:ext uri="{FF2B5EF4-FFF2-40B4-BE49-F238E27FC236}">
              <a16:creationId xmlns:a16="http://schemas.microsoft.com/office/drawing/2014/main" id="{861D8A65-ADF2-4CBE-B4F5-E45722F0CC47}"/>
            </a:ext>
          </a:extLst>
        </xdr:cNvPr>
        <xdr:cNvSpPr/>
      </xdr:nvSpPr>
      <xdr:spPr>
        <a:xfrm rot="5400000">
          <a:off x="4718490" y="-4685608"/>
          <a:ext cx="9710850" cy="19082063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095233"/>
            <a:gd name="csY0" fmla="*/ 5274129 h 5306786"/>
            <a:gd name="csX1" fmla="*/ 3 w 4095233"/>
            <a:gd name="csY1" fmla="*/ 0 h 5306786"/>
            <a:gd name="csX2" fmla="*/ 574997 w 4095233"/>
            <a:gd name="csY2" fmla="*/ 1345612 h 5306786"/>
            <a:gd name="csX3" fmla="*/ 1661087 w 4095233"/>
            <a:gd name="csY3" fmla="*/ 2492130 h 5306786"/>
            <a:gd name="csX4" fmla="*/ 2254035 w 4095233"/>
            <a:gd name="csY4" fmla="*/ 4583945 h 5306786"/>
            <a:gd name="csX5" fmla="*/ 4033160 w 4095233"/>
            <a:gd name="csY5" fmla="*/ 5306786 h 5306786"/>
            <a:gd name="csX6" fmla="*/ 0 w 4095233"/>
            <a:gd name="csY6" fmla="*/ 5274129 h 5306786"/>
            <a:gd name="csX0" fmla="*/ 0 w 4095233"/>
            <a:gd name="csY0" fmla="*/ 5274129 h 5337426"/>
            <a:gd name="csX1" fmla="*/ 3 w 4095233"/>
            <a:gd name="csY1" fmla="*/ 0 h 5337426"/>
            <a:gd name="csX2" fmla="*/ 574997 w 4095233"/>
            <a:gd name="csY2" fmla="*/ 1345612 h 5337426"/>
            <a:gd name="csX3" fmla="*/ 1661087 w 4095233"/>
            <a:gd name="csY3" fmla="*/ 2492130 h 5337426"/>
            <a:gd name="csX4" fmla="*/ 2254035 w 4095233"/>
            <a:gd name="csY4" fmla="*/ 4583945 h 5337426"/>
            <a:gd name="csX5" fmla="*/ 4033160 w 4095233"/>
            <a:gd name="csY5" fmla="*/ 5337426 h 5337426"/>
            <a:gd name="csX6" fmla="*/ 0 w 4095233"/>
            <a:gd name="csY6" fmla="*/ 5274129 h 5337426"/>
            <a:gd name="csX0" fmla="*/ 0 w 4033160"/>
            <a:gd name="csY0" fmla="*/ 5274129 h 5337426"/>
            <a:gd name="csX1" fmla="*/ 3 w 4033160"/>
            <a:gd name="csY1" fmla="*/ 0 h 5337426"/>
            <a:gd name="csX2" fmla="*/ 574997 w 4033160"/>
            <a:gd name="csY2" fmla="*/ 1345612 h 5337426"/>
            <a:gd name="csX3" fmla="*/ 1661087 w 4033160"/>
            <a:gd name="csY3" fmla="*/ 2492130 h 5337426"/>
            <a:gd name="csX4" fmla="*/ 2254035 w 4033160"/>
            <a:gd name="csY4" fmla="*/ 4583945 h 5337426"/>
            <a:gd name="csX5" fmla="*/ 4033160 w 4033160"/>
            <a:gd name="csY5" fmla="*/ 5337426 h 5337426"/>
            <a:gd name="csX6" fmla="*/ 0 w 4033160"/>
            <a:gd name="csY6" fmla="*/ 5274129 h 533742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33160" h="5337426">
              <a:moveTo>
                <a:pt x="0" y="5274129"/>
              </a:moveTo>
              <a:lnTo>
                <a:pt x="3" y="0"/>
              </a:lnTo>
              <a:cubicBezTo>
                <a:pt x="161450" y="899507"/>
                <a:pt x="197164" y="878285"/>
                <a:pt x="574997" y="1345612"/>
              </a:cubicBezTo>
              <a:cubicBezTo>
                <a:pt x="952830" y="1812939"/>
                <a:pt x="1381247" y="1952408"/>
                <a:pt x="1661087" y="2492130"/>
              </a:cubicBezTo>
              <a:cubicBezTo>
                <a:pt x="1940927" y="3031852"/>
                <a:pt x="1858690" y="4109729"/>
                <a:pt x="2254035" y="4583945"/>
              </a:cubicBezTo>
              <a:cubicBezTo>
                <a:pt x="2649381" y="5058161"/>
                <a:pt x="3600832" y="5170035"/>
                <a:pt x="4033160" y="5337426"/>
              </a:cubicBezTo>
              <a:lnTo>
                <a:pt x="0" y="5274129"/>
              </a:lnTo>
              <a:close/>
            </a:path>
          </a:pathLst>
        </a:custGeom>
        <a:gradFill flip="none" rotWithShape="1">
          <a:gsLst>
            <a:gs pos="34000">
              <a:srgbClr val="0EA7EC"/>
            </a:gs>
            <a:gs pos="64000">
              <a:schemeClr val="accent1">
                <a:lumMod val="75000"/>
              </a:schemeClr>
            </a:gs>
            <a:gs pos="100000">
              <a:srgbClr val="0A6697"/>
            </a:gs>
            <a:gs pos="0">
              <a:srgbClr val="062542"/>
            </a:gs>
          </a:gsLst>
          <a:lin ang="108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521</xdr:colOff>
      <xdr:row>0</xdr:row>
      <xdr:rowOff>5488</xdr:rowOff>
    </xdr:from>
    <xdr:to>
      <xdr:col>22</xdr:col>
      <xdr:colOff>661470</xdr:colOff>
      <xdr:row>38</xdr:row>
      <xdr:rowOff>98999</xdr:rowOff>
    </xdr:to>
    <xdr:sp macro="" textlink="">
      <xdr:nvSpPr>
        <xdr:cNvPr id="34" name="Right Triangle 27">
          <a:extLst>
            <a:ext uri="{FF2B5EF4-FFF2-40B4-BE49-F238E27FC236}">
              <a16:creationId xmlns:a16="http://schemas.microsoft.com/office/drawing/2014/main" id="{32960BA9-4791-4C3D-B33E-B364B3246DDA}"/>
            </a:ext>
          </a:extLst>
        </xdr:cNvPr>
        <xdr:cNvSpPr/>
      </xdr:nvSpPr>
      <xdr:spPr>
        <a:xfrm rot="5400000">
          <a:off x="2836054" y="-2830045"/>
          <a:ext cx="7164162" cy="12835228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151052"/>
            <a:gd name="csY0" fmla="*/ 5411395 h 5470729"/>
            <a:gd name="csX1" fmla="*/ 3 w 4151052"/>
            <a:gd name="csY1" fmla="*/ 137266 h 5470729"/>
            <a:gd name="csX2" fmla="*/ 574997 w 4151052"/>
            <a:gd name="csY2" fmla="*/ 1482878 h 5470729"/>
            <a:gd name="csX3" fmla="*/ 1661087 w 4151052"/>
            <a:gd name="csY3" fmla="*/ 2629396 h 5470729"/>
            <a:gd name="csX4" fmla="*/ 2254035 w 4151052"/>
            <a:gd name="csY4" fmla="*/ 4721211 h 5470729"/>
            <a:gd name="csX5" fmla="*/ 4090358 w 4151052"/>
            <a:gd name="csY5" fmla="*/ 5470729 h 5470729"/>
            <a:gd name="csX6" fmla="*/ 0 w 4151052"/>
            <a:gd name="csY6" fmla="*/ 5411395 h 5470729"/>
            <a:gd name="csX0" fmla="*/ 0 w 4090358"/>
            <a:gd name="csY0" fmla="*/ 5411395 h 5470729"/>
            <a:gd name="csX1" fmla="*/ 3 w 4090358"/>
            <a:gd name="csY1" fmla="*/ 137266 h 5470729"/>
            <a:gd name="csX2" fmla="*/ 574997 w 4090358"/>
            <a:gd name="csY2" fmla="*/ 1482878 h 5470729"/>
            <a:gd name="csX3" fmla="*/ 1661087 w 4090358"/>
            <a:gd name="csY3" fmla="*/ 2629396 h 5470729"/>
            <a:gd name="csX4" fmla="*/ 2254035 w 4090358"/>
            <a:gd name="csY4" fmla="*/ 4721211 h 5470729"/>
            <a:gd name="csX5" fmla="*/ 4090358 w 4090358"/>
            <a:gd name="csY5" fmla="*/ 5470729 h 5470729"/>
            <a:gd name="csX6" fmla="*/ 0 w 4090358"/>
            <a:gd name="csY6" fmla="*/ 5411395 h 547072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90358" h="5470729">
              <a:moveTo>
                <a:pt x="0" y="5411395"/>
              </a:moveTo>
              <a:lnTo>
                <a:pt x="3" y="137266"/>
              </a:lnTo>
              <a:cubicBezTo>
                <a:pt x="102512" y="-451470"/>
                <a:pt x="197164" y="1015551"/>
                <a:pt x="574997" y="1482878"/>
              </a:cubicBezTo>
              <a:cubicBezTo>
                <a:pt x="952830" y="1950205"/>
                <a:pt x="1381247" y="2089674"/>
                <a:pt x="1661087" y="2629396"/>
              </a:cubicBezTo>
              <a:cubicBezTo>
                <a:pt x="1940927" y="3169118"/>
                <a:pt x="1849157" y="4247656"/>
                <a:pt x="2254035" y="4721211"/>
              </a:cubicBezTo>
              <a:cubicBezTo>
                <a:pt x="2658913" y="5194766"/>
                <a:pt x="3321954" y="5270199"/>
                <a:pt x="4090358" y="5470729"/>
              </a:cubicBezTo>
              <a:lnTo>
                <a:pt x="0" y="5411395"/>
              </a:lnTo>
              <a:close/>
            </a:path>
          </a:pathLst>
        </a:custGeom>
        <a:gradFill flip="none" rotWithShape="1">
          <a:gsLst>
            <a:gs pos="97000">
              <a:schemeClr val="accent1">
                <a:lumMod val="75000"/>
              </a:schemeClr>
            </a:gs>
            <a:gs pos="44000">
              <a:schemeClr val="accent1">
                <a:lumMod val="60000"/>
                <a:lumOff val="40000"/>
              </a:schemeClr>
            </a:gs>
            <a:gs pos="4000">
              <a:srgbClr val="062542"/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19471</xdr:colOff>
      <xdr:row>15</xdr:row>
      <xdr:rowOff>186</xdr:rowOff>
    </xdr:from>
    <xdr:to>
      <xdr:col>14</xdr:col>
      <xdr:colOff>504366</xdr:colOff>
      <xdr:row>40</xdr:row>
      <xdr:rowOff>39598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5CD99-5156-44D8-76A4-B62D62F5314E}"/>
            </a:ext>
          </a:extLst>
        </xdr:cNvPr>
        <xdr:cNvSpPr/>
      </xdr:nvSpPr>
      <xdr:spPr>
        <a:xfrm>
          <a:off x="4070610" y="2749173"/>
          <a:ext cx="5886414" cy="4621058"/>
        </a:xfrm>
        <a:prstGeom prst="roundRect">
          <a:avLst/>
        </a:prstGeom>
        <a:gradFill flip="none" rotWithShape="1">
          <a:gsLst>
            <a:gs pos="80000">
              <a:schemeClr val="accent1">
                <a:lumMod val="75000"/>
              </a:schemeClr>
            </a:gs>
            <a:gs pos="40000">
              <a:schemeClr val="tx2">
                <a:lumMod val="50000"/>
                <a:lumOff val="50000"/>
              </a:schemeClr>
            </a:gs>
            <a:gs pos="9000">
              <a:schemeClr val="tx2">
                <a:lumMod val="25000"/>
                <a:lumOff val="75000"/>
              </a:schemeClr>
            </a:gs>
          </a:gsLst>
          <a:lin ang="13500000" scaled="1"/>
          <a:tileRect/>
        </a:gradFill>
        <a:ln w="9525" cap="rnd" cmpd="sng">
          <a:solidFill>
            <a:schemeClr val="tx2">
              <a:lumMod val="90000"/>
              <a:lumOff val="10000"/>
            </a:schemeClr>
          </a:solidFill>
          <a:round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glow rad="50800">
            <a:schemeClr val="accent4">
              <a:satMod val="175000"/>
              <a:alpha val="54000"/>
            </a:schemeClr>
          </a:glow>
          <a:softEdge rad="88900"/>
        </a:effectLst>
        <a:scene3d>
          <a:camera prst="perspectiveFront"/>
          <a:lightRig rig="threePt" dir="t"/>
        </a:scene3d>
        <a:sp3d extrusionH="152400" contourW="38100" prstMaterial="dkEdge">
          <a:bevelT prst="angle"/>
          <a:bevelB w="139700" h="133350" prst="angle"/>
          <a:extrusionClr>
            <a:schemeClr val="tx2">
              <a:lumMod val="90000"/>
              <a:lumOff val="10000"/>
            </a:schemeClr>
          </a:extrusionClr>
          <a:contourClr>
            <a:schemeClr val="tx2">
              <a:lumMod val="90000"/>
              <a:lumOff val="1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200244</xdr:colOff>
      <xdr:row>16</xdr:row>
      <xdr:rowOff>66672</xdr:rowOff>
    </xdr:from>
    <xdr:to>
      <xdr:col>12</xdr:col>
      <xdr:colOff>232638</xdr:colOff>
      <xdr:row>18</xdr:row>
      <xdr:rowOff>153461</xdr:rowOff>
    </xdr:to>
    <xdr:sp macro="" textlink="">
      <xdr:nvSpPr>
        <xdr:cNvPr id="3" name="Flowchart: Terminator 2">
          <a:extLst>
            <a:ext uri="{FF2B5EF4-FFF2-40B4-BE49-F238E27FC236}">
              <a16:creationId xmlns:a16="http://schemas.microsoft.com/office/drawing/2014/main" id="{FDE443A2-A8C7-60EC-39D5-89A109A66829}"/>
            </a:ext>
          </a:extLst>
        </xdr:cNvPr>
        <xdr:cNvSpPr/>
      </xdr:nvSpPr>
      <xdr:spPr>
        <a:xfrm>
          <a:off x="5077044" y="3027586"/>
          <a:ext cx="2470794" cy="456904"/>
        </a:xfrm>
        <a:prstGeom prst="flowChartTerminator">
          <a:avLst/>
        </a:prstGeom>
        <a:gradFill flip="none" rotWithShape="1">
          <a:gsLst>
            <a:gs pos="0">
              <a:schemeClr val="tx2">
                <a:lumMod val="50000"/>
                <a:lumOff val="50000"/>
              </a:schemeClr>
            </a:gs>
            <a:gs pos="87000">
              <a:schemeClr val="accent3">
                <a:lumMod val="20000"/>
                <a:lumOff val="80000"/>
              </a:schemeClr>
            </a:gs>
            <a:gs pos="100000">
              <a:schemeClr val="tx2">
                <a:lumMod val="75000"/>
                <a:lumOff val="25000"/>
              </a:schemeClr>
            </a:gs>
          </a:gsLst>
          <a:lin ang="2700000" scaled="1"/>
          <a:tileRect/>
        </a:gradFill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Main</a:t>
          </a:r>
          <a:r>
            <a:rPr lang="en-IN" sz="2400" baseline="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 Menu</a:t>
          </a:r>
          <a:endParaRPr lang="en-IN" sz="2400">
            <a:solidFill>
              <a:schemeClr val="tx2">
                <a:lumMod val="90000"/>
                <a:lumOff val="10000"/>
              </a:schemeClr>
            </a:solidFill>
            <a:latin typeface="Bodoni MT" panose="02070603080606020203" pitchFamily="18" charset="0"/>
          </a:endParaRPr>
        </a:p>
      </xdr:txBody>
    </xdr:sp>
    <xdr:clientData/>
  </xdr:twoCellAnchor>
  <xdr:twoCellAnchor>
    <xdr:from>
      <xdr:col>1</xdr:col>
      <xdr:colOff>609592</xdr:colOff>
      <xdr:row>7</xdr:row>
      <xdr:rowOff>108854</xdr:rowOff>
    </xdr:from>
    <xdr:to>
      <xdr:col>5</xdr:col>
      <xdr:colOff>522507</xdr:colOff>
      <xdr:row>12</xdr:row>
      <xdr:rowOff>87082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F936AB31-CBEE-D374-2958-46461C8A84D8}"/>
            </a:ext>
          </a:extLst>
        </xdr:cNvPr>
        <xdr:cNvSpPr/>
      </xdr:nvSpPr>
      <xdr:spPr>
        <a:xfrm>
          <a:off x="1219192" y="1404254"/>
          <a:ext cx="2351315" cy="903514"/>
        </a:xfrm>
        <a:prstGeom prst="roundRect">
          <a:avLst/>
        </a:pr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/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Total</a:t>
          </a:r>
          <a:r>
            <a:rPr lang="en-US" sz="12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 </a:t>
          </a:r>
          <a:r>
            <a:rPr lang="en-US" sz="14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Students</a:t>
          </a:r>
          <a:endParaRPr lang="en-US" sz="20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</a:endParaRPr>
        </a:p>
      </xdr:txBody>
    </xdr:sp>
    <xdr:clientData/>
  </xdr:twoCellAnchor>
  <xdr:twoCellAnchor>
    <xdr:from>
      <xdr:col>3</xdr:col>
      <xdr:colOff>163290</xdr:colOff>
      <xdr:row>9</xdr:row>
      <xdr:rowOff>56104</xdr:rowOff>
    </xdr:from>
    <xdr:to>
      <xdr:col>4</xdr:col>
      <xdr:colOff>119742</xdr:colOff>
      <xdr:row>11</xdr:row>
      <xdr:rowOff>121414</xdr:rowOff>
    </xdr:to>
    <xdr:sp macro="" textlink="Dashboard!B2">
      <xdr:nvSpPr>
        <xdr:cNvPr id="45" name="TextBox 44">
          <a:extLst>
            <a:ext uri="{FF2B5EF4-FFF2-40B4-BE49-F238E27FC236}">
              <a16:creationId xmlns:a16="http://schemas.microsoft.com/office/drawing/2014/main" id="{68B48584-1EC8-9D7B-F1FC-5FBE1433B184}"/>
            </a:ext>
          </a:extLst>
        </xdr:cNvPr>
        <xdr:cNvSpPr txBox="1"/>
      </xdr:nvSpPr>
      <xdr:spPr>
        <a:xfrm>
          <a:off x="1992090" y="1744227"/>
          <a:ext cx="566052" cy="440449"/>
        </a:xfrm>
        <a:prstGeom prst="rect">
          <a:avLst/>
        </a:prstGeom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325834D6-071F-4D92-89D7-0F4B47FD0E66}" type="TxLink">
            <a:rPr lang="en-US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rPr>
            <a:pPr marL="0" indent="0" algn="ctr"/>
            <a:t>84</a:t>
          </a:fld>
          <a:endParaRPr lang="en-IN" sz="2000" b="1" cap="none" spc="50">
            <a:ln w="3175">
              <a:noFill/>
            </a:ln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195942</xdr:colOff>
      <xdr:row>7</xdr:row>
      <xdr:rowOff>119740</xdr:rowOff>
    </xdr:from>
    <xdr:to>
      <xdr:col>10</xdr:col>
      <xdr:colOff>108857</xdr:colOff>
      <xdr:row>12</xdr:row>
      <xdr:rowOff>97968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01AB20-A204-4716-9F87-590D6E6452D1}"/>
            </a:ext>
          </a:extLst>
        </xdr:cNvPr>
        <xdr:cNvSpPr/>
      </xdr:nvSpPr>
      <xdr:spPr>
        <a:xfrm>
          <a:off x="3853542" y="1415140"/>
          <a:ext cx="2351315" cy="903514"/>
        </a:xfrm>
        <a:prstGeom prst="roundRect">
          <a:avLst/>
        </a:pr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/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Today's</a:t>
          </a:r>
          <a:r>
            <a:rPr lang="en-US" sz="14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 in </a:t>
          </a:r>
          <a:endParaRPr lang="en-US" sz="20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</a:endParaRPr>
        </a:p>
      </xdr:txBody>
    </xdr:sp>
    <xdr:clientData/>
  </xdr:twoCellAnchor>
  <xdr:twoCellAnchor>
    <xdr:from>
      <xdr:col>10</xdr:col>
      <xdr:colOff>380986</xdr:colOff>
      <xdr:row>7</xdr:row>
      <xdr:rowOff>108854</xdr:rowOff>
    </xdr:from>
    <xdr:to>
      <xdr:col>14</xdr:col>
      <xdr:colOff>293901</xdr:colOff>
      <xdr:row>12</xdr:row>
      <xdr:rowOff>87082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CC00830-7920-4868-A092-D1B7D445376E}"/>
            </a:ext>
          </a:extLst>
        </xdr:cNvPr>
        <xdr:cNvSpPr/>
      </xdr:nvSpPr>
      <xdr:spPr>
        <a:xfrm>
          <a:off x="6476986" y="1404254"/>
          <a:ext cx="2351315" cy="903514"/>
        </a:xfrm>
        <a:prstGeom prst="roundRect">
          <a:avLst/>
        </a:pr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/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rPr>
            <a:t>today's out</a:t>
          </a:r>
          <a:endParaRPr lang="en-US" sz="20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</a:endParaRPr>
        </a:p>
      </xdr:txBody>
    </xdr:sp>
    <xdr:clientData/>
  </xdr:twoCellAnchor>
  <xdr:twoCellAnchor>
    <xdr:from>
      <xdr:col>14</xdr:col>
      <xdr:colOff>576936</xdr:colOff>
      <xdr:row>7</xdr:row>
      <xdr:rowOff>119740</xdr:rowOff>
    </xdr:from>
    <xdr:to>
      <xdr:col>22</xdr:col>
      <xdr:colOff>446308</xdr:colOff>
      <xdr:row>12</xdr:row>
      <xdr:rowOff>97968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CA56924-63A0-48A0-AB81-47EC96C02C1A}"/>
            </a:ext>
          </a:extLst>
        </xdr:cNvPr>
        <xdr:cNvSpPr/>
      </xdr:nvSpPr>
      <xdr:spPr>
        <a:xfrm>
          <a:off x="9111336" y="1415140"/>
          <a:ext cx="2351315" cy="903514"/>
        </a:xfrm>
        <a:prstGeom prst="roundRect">
          <a:avLst/>
        </a:pr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/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rPr>
            <a:t>today's Entry's </a:t>
          </a:r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41867</xdr:colOff>
      <xdr:row>9</xdr:row>
      <xdr:rowOff>45217</xdr:rowOff>
    </xdr:from>
    <xdr:to>
      <xdr:col>12</xdr:col>
      <xdr:colOff>607919</xdr:colOff>
      <xdr:row>11</xdr:row>
      <xdr:rowOff>110527</xdr:rowOff>
    </xdr:to>
    <xdr:sp macro="" textlink="Dashboard!B4">
      <xdr:nvSpPr>
        <xdr:cNvPr id="25" name="TextBox 24">
          <a:extLst>
            <a:ext uri="{FF2B5EF4-FFF2-40B4-BE49-F238E27FC236}">
              <a16:creationId xmlns:a16="http://schemas.microsoft.com/office/drawing/2014/main" id="{2F3DE4D0-E526-435F-B9A0-64360B1169DF}"/>
            </a:ext>
          </a:extLst>
        </xdr:cNvPr>
        <xdr:cNvSpPr txBox="1"/>
      </xdr:nvSpPr>
      <xdr:spPr>
        <a:xfrm>
          <a:off x="7357067" y="1733340"/>
          <a:ext cx="566052" cy="440449"/>
        </a:xfrm>
        <a:prstGeom prst="rect">
          <a:avLst/>
        </a:prstGeom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27AB772E-A3AF-4F0F-BE47-6D7857D1ED84}" type="TxLink">
            <a:rPr lang="en-US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rPr>
            <a:pPr marL="0" indent="0" algn="ctr"/>
            <a:t>0</a:t>
          </a:fld>
          <a:endParaRPr lang="en-IN" sz="2000" b="1" cap="none" spc="50">
            <a:ln w="3175">
              <a:noFill/>
            </a:ln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205990</xdr:colOff>
      <xdr:row>9</xdr:row>
      <xdr:rowOff>66988</xdr:rowOff>
    </xdr:from>
    <xdr:to>
      <xdr:col>21</xdr:col>
      <xdr:colOff>173321</xdr:colOff>
      <xdr:row>11</xdr:row>
      <xdr:rowOff>132298</xdr:rowOff>
    </xdr:to>
    <xdr:sp macro="" textlink="Dashboard!B5">
      <xdr:nvSpPr>
        <xdr:cNvPr id="26" name="TextBox 25">
          <a:extLst>
            <a:ext uri="{FF2B5EF4-FFF2-40B4-BE49-F238E27FC236}">
              <a16:creationId xmlns:a16="http://schemas.microsoft.com/office/drawing/2014/main" id="{D1B88C75-D080-4BD7-A9D4-896D50F70CF2}"/>
            </a:ext>
          </a:extLst>
        </xdr:cNvPr>
        <xdr:cNvSpPr txBox="1"/>
      </xdr:nvSpPr>
      <xdr:spPr>
        <a:xfrm>
          <a:off x="10006482" y="1755111"/>
          <a:ext cx="576931" cy="440449"/>
        </a:xfrm>
        <a:prstGeom prst="rect">
          <a:avLst/>
        </a:prstGeom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E30BBA7-3CEE-4403-A257-133F776125E4}" type="TxLink">
            <a:rPr lang="en-US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rPr>
            <a:pPr marL="0" indent="0" algn="ctr"/>
            <a:t>0</a:t>
          </a:fld>
          <a:endParaRPr lang="en-IN" sz="2000" b="1" cap="none" spc="50">
            <a:ln w="3175">
              <a:noFill/>
            </a:ln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446314</xdr:colOff>
      <xdr:row>9</xdr:row>
      <xdr:rowOff>45216</xdr:rowOff>
    </xdr:from>
    <xdr:to>
      <xdr:col>8</xdr:col>
      <xdr:colOff>402766</xdr:colOff>
      <xdr:row>11</xdr:row>
      <xdr:rowOff>110526</xdr:rowOff>
    </xdr:to>
    <xdr:sp macro="" textlink="Dashboard!B3">
      <xdr:nvSpPr>
        <xdr:cNvPr id="27" name="TextBox 26">
          <a:extLst>
            <a:ext uri="{FF2B5EF4-FFF2-40B4-BE49-F238E27FC236}">
              <a16:creationId xmlns:a16="http://schemas.microsoft.com/office/drawing/2014/main" id="{CFBA0E6F-1787-415E-981C-4E24FC529892}"/>
            </a:ext>
          </a:extLst>
        </xdr:cNvPr>
        <xdr:cNvSpPr txBox="1"/>
      </xdr:nvSpPr>
      <xdr:spPr>
        <a:xfrm>
          <a:off x="4713514" y="1733339"/>
          <a:ext cx="566052" cy="440449"/>
        </a:xfrm>
        <a:prstGeom prst="rect">
          <a:avLst/>
        </a:prstGeom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E2BAF56D-3B6E-4EED-A4F2-0D15A185720A}" type="TxLink">
            <a:rPr lang="en-US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rPr>
            <a:pPr marL="0" indent="0" algn="ctr"/>
            <a:t>0</a:t>
          </a:fld>
          <a:endParaRPr lang="en-IN" sz="2000" b="1" cap="none" spc="50">
            <a:ln w="3175">
              <a:noFill/>
            </a:ln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557858</xdr:colOff>
      <xdr:row>0</xdr:row>
      <xdr:rowOff>50714</xdr:rowOff>
    </xdr:from>
    <xdr:to>
      <xdr:col>23</xdr:col>
      <xdr:colOff>403577</xdr:colOff>
      <xdr:row>6</xdr:row>
      <xdr:rowOff>13173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B3928D6B-BB54-5218-53DF-2CF98A3F21A0}"/>
            </a:ext>
          </a:extLst>
        </xdr:cNvPr>
        <xdr:cNvGrpSpPr/>
      </xdr:nvGrpSpPr>
      <xdr:grpSpPr>
        <a:xfrm>
          <a:off x="557858" y="50714"/>
          <a:ext cx="12685419" cy="1029259"/>
          <a:chOff x="557858" y="51345"/>
          <a:chExt cx="12723519" cy="1072171"/>
        </a:xfrm>
        <a:gradFill>
          <a:gsLst>
            <a:gs pos="100000">
              <a:schemeClr val="accent2">
                <a:lumMod val="60000"/>
                <a:lumOff val="40000"/>
              </a:schemeClr>
            </a:gs>
            <a:gs pos="9000">
              <a:schemeClr val="accent1">
                <a:lumMod val="45000"/>
                <a:lumOff val="55000"/>
              </a:schemeClr>
            </a:gs>
            <a:gs pos="58000">
              <a:schemeClr val="accent2">
                <a:lumMod val="60000"/>
                <a:lumOff val="40000"/>
              </a:schemeClr>
            </a:gs>
          </a:gsLst>
          <a:lin ang="5400000" scaled="1"/>
        </a:gradFill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BC28923-3D3A-914D-1D0A-04A9E2B9B12D}"/>
              </a:ext>
            </a:extLst>
          </xdr:cNvPr>
          <xdr:cNvGrpSpPr/>
        </xdr:nvGrpSpPr>
        <xdr:grpSpPr>
          <a:xfrm>
            <a:off x="557858" y="51345"/>
            <a:ext cx="12723519" cy="1072171"/>
            <a:chOff x="0" y="21772"/>
            <a:chExt cx="13868400" cy="2035629"/>
          </a:xfrm>
          <a:grpFill/>
        </xdr:grpSpPr>
        <xdr:sp macro="" textlink="">
          <xdr:nvSpPr>
            <xdr:cNvPr id="16" name="Rectangle: Rounded Corners 15">
              <a:extLst>
                <a:ext uri="{FF2B5EF4-FFF2-40B4-BE49-F238E27FC236}">
                  <a16:creationId xmlns:a16="http://schemas.microsoft.com/office/drawing/2014/main" id="{EDD0585A-505E-66D7-14C4-338684547C30}"/>
                </a:ext>
              </a:extLst>
            </xdr:cNvPr>
            <xdr:cNvSpPr/>
          </xdr:nvSpPr>
          <xdr:spPr>
            <a:xfrm>
              <a:off x="0" y="21772"/>
              <a:ext cx="13868400" cy="2035629"/>
            </a:xfrm>
            <a:prstGeom prst="roundRect">
              <a:avLst/>
            </a:prstGeom>
            <a:grpFill/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76257E67-BC3B-92E2-176B-129C168EAC3F}"/>
                </a:ext>
              </a:extLst>
            </xdr:cNvPr>
            <xdr:cNvSpPr txBox="1"/>
          </xdr:nvSpPr>
          <xdr:spPr>
            <a:xfrm>
              <a:off x="2920471" y="108780"/>
              <a:ext cx="8528733" cy="8683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320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STUDENT</a:t>
              </a:r>
              <a:r>
                <a:rPr lang="en-IN" sz="3200" baseline="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 IN OUT management SYSTEM</a:t>
              </a:r>
              <a:endParaRPr lang="en-IN" sz="3200">
                <a:solidFill>
                  <a:schemeClr val="accent2">
                    <a:lumMod val="50000"/>
                  </a:schemeClr>
                </a:solidFill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9707BA5F-E12B-46FB-B3D6-56635296CF52}"/>
                </a:ext>
              </a:extLst>
            </xdr:cNvPr>
            <xdr:cNvSpPr txBox="1"/>
          </xdr:nvSpPr>
          <xdr:spPr>
            <a:xfrm>
              <a:off x="4052964" y="1070479"/>
              <a:ext cx="6658851" cy="5452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Tracking Student</a:t>
              </a:r>
              <a:r>
                <a:rPr lang="en-IN" sz="1400" baseline="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 movement for safety and accountability</a:t>
              </a:r>
              <a:endParaRPr lang="en-IN" sz="1400">
                <a:solidFill>
                  <a:schemeClr val="accent2">
                    <a:lumMod val="50000"/>
                  </a:schemeClr>
                </a:solidFill>
                <a:latin typeface="Century" panose="02040604050505020304" pitchFamily="18" charset="0"/>
                <a:cs typeface="Angsana New" panose="02020603050405020304" pitchFamily="18" charset="-34"/>
              </a:endParaRPr>
            </a:p>
          </xdr:txBody>
        </xdr:sp>
      </xdr:grp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B78ECAA2-0F7D-3CF4-C6EA-0A87E6BAE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8059" y="185058"/>
            <a:ext cx="838200" cy="838200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7</xdr:col>
      <xdr:colOff>476223</xdr:colOff>
      <xdr:row>22</xdr:row>
      <xdr:rowOff>105133</xdr:rowOff>
    </xdr:from>
    <xdr:to>
      <xdr:col>13</xdr:col>
      <xdr:colOff>2656</xdr:colOff>
      <xdr:row>37</xdr:row>
      <xdr:rowOff>92098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7C3C46E-6D71-0169-2A46-39A012398555}"/>
            </a:ext>
          </a:extLst>
        </xdr:cNvPr>
        <xdr:cNvGrpSpPr/>
      </xdr:nvGrpSpPr>
      <xdr:grpSpPr>
        <a:xfrm>
          <a:off x="5187923" y="4016733"/>
          <a:ext cx="3565033" cy="2653965"/>
          <a:chOff x="5189990" y="4198668"/>
          <a:chExt cx="3566806" cy="2778011"/>
        </a:xfrm>
      </xdr:grpSpPr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D9F41FB2-4AC7-53D7-3D17-3BDBEE619B90}"/>
              </a:ext>
            </a:extLst>
          </xdr:cNvPr>
          <xdr:cNvGrpSpPr/>
        </xdr:nvGrpSpPr>
        <xdr:grpSpPr>
          <a:xfrm>
            <a:off x="5197912" y="4202201"/>
            <a:ext cx="1726881" cy="544757"/>
            <a:chOff x="5200524" y="4167319"/>
            <a:chExt cx="1728000" cy="540000"/>
          </a:xfrm>
        </xdr:grpSpPr>
        <xdr:sp macro="[0]!inOutStud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CD1C1852-08F2-401E-8B25-2092B281CA3E}"/>
                </a:ext>
              </a:extLst>
            </xdr:cNvPr>
            <xdr:cNvSpPr/>
          </xdr:nvSpPr>
          <xdr:spPr>
            <a:xfrm>
              <a:off x="5200524" y="416731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IN/OUT</a:t>
              </a:r>
            </a:p>
          </xdr:txBody>
        </xdr:sp>
        <xdr:pic macro="[0]!inOutStud">
          <xdr:nvPicPr>
            <xdr:cNvPr id="29" name="Graphic 28" descr="Transfer with solid fill">
              <a:extLst>
                <a:ext uri="{FF2B5EF4-FFF2-40B4-BE49-F238E27FC236}">
                  <a16:creationId xmlns:a16="http://schemas.microsoft.com/office/drawing/2014/main" id="{961C9F49-0809-9FBF-EDC7-F5BF04C6376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5516782" y="4319966"/>
              <a:ext cx="209654" cy="21193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C5DDE897-CF1B-6A5D-2FCB-557FFD7E8A4E}"/>
              </a:ext>
            </a:extLst>
          </xdr:cNvPr>
          <xdr:cNvGrpSpPr/>
        </xdr:nvGrpSpPr>
        <xdr:grpSpPr>
          <a:xfrm>
            <a:off x="5197166" y="6431923"/>
            <a:ext cx="1726881" cy="544756"/>
            <a:chOff x="5199778" y="6378014"/>
            <a:chExt cx="1728000" cy="540000"/>
          </a:xfrm>
        </xdr:grpSpPr>
        <xdr:sp macro="[0]!ShowSheets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4D26EC9F-3E3D-D018-2DA4-6096C82DF972}"/>
                </a:ext>
              </a:extLst>
            </xdr:cNvPr>
            <xdr:cNvSpPr/>
          </xdr:nvSpPr>
          <xdr:spPr>
            <a:xfrm>
              <a:off x="5199778" y="637801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Show sheets</a:t>
              </a:r>
            </a:p>
          </xdr:txBody>
        </xdr:sp>
        <xdr:pic macro="[0]!ShowSheets">
          <xdr:nvPicPr>
            <xdr:cNvPr id="38" name="Graphic 37" descr="Eyes with solid fill">
              <a:extLst>
                <a:ext uri="{FF2B5EF4-FFF2-40B4-BE49-F238E27FC236}">
                  <a16:creationId xmlns:a16="http://schemas.microsoft.com/office/drawing/2014/main" id="{903DACF0-4A1F-5D07-9D50-B2510309F7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370635" y="6479797"/>
              <a:ext cx="332333" cy="334885"/>
            </a:xfrm>
            <a:prstGeom prst="rect">
              <a:avLst/>
            </a:prstGeom>
          </xdr:spPr>
        </xdr:pic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C2004A2C-2B14-6BF5-7DBF-62778FA4AE54}"/>
              </a:ext>
            </a:extLst>
          </xdr:cNvPr>
          <xdr:cNvGrpSpPr/>
        </xdr:nvGrpSpPr>
        <xdr:grpSpPr>
          <a:xfrm>
            <a:off x="7021523" y="6427894"/>
            <a:ext cx="1727254" cy="544756"/>
            <a:chOff x="7025254" y="6373985"/>
            <a:chExt cx="1728000" cy="540000"/>
          </a:xfrm>
        </xdr:grpSpPr>
        <xdr:sp macro="[0]!exitApp.exitApp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9A1AC88-F807-60C1-E419-613FA406CA55}"/>
                </a:ext>
              </a:extLst>
            </xdr:cNvPr>
            <xdr:cNvSpPr/>
          </xdr:nvSpPr>
          <xdr:spPr>
            <a:xfrm>
              <a:off x="7025254" y="637398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marL="0" indent="0"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Exit Application</a:t>
              </a:r>
            </a:p>
          </xdr:txBody>
        </xdr:sp>
        <xdr:pic>
          <xdr:nvPicPr>
            <xdr:cNvPr id="41" name="Graphic 40" descr="Back with solid fill">
              <a:extLst>
                <a:ext uri="{FF2B5EF4-FFF2-40B4-BE49-F238E27FC236}">
                  <a16:creationId xmlns:a16="http://schemas.microsoft.com/office/drawing/2014/main" id="{43D22A7D-2B1C-4431-5C47-9B44940DA5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7228640" y="6486632"/>
              <a:ext cx="287087" cy="29015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CF60B9B1-9196-C42F-16BC-2B0ED0EBC4BC}"/>
              </a:ext>
            </a:extLst>
          </xdr:cNvPr>
          <xdr:cNvGrpSpPr/>
        </xdr:nvGrpSpPr>
        <xdr:grpSpPr>
          <a:xfrm>
            <a:off x="7029914" y="4198668"/>
            <a:ext cx="1726882" cy="544757"/>
            <a:chOff x="7033645" y="4163786"/>
            <a:chExt cx="1728000" cy="540000"/>
          </a:xfrm>
        </xdr:grpSpPr>
        <xdr:sp macro="[0]!OpenAddStudent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9F8CC03B-CDFC-A01A-791D-7C1C83C23471}"/>
                </a:ext>
              </a:extLst>
            </xdr:cNvPr>
            <xdr:cNvSpPr/>
          </xdr:nvSpPr>
          <xdr:spPr>
            <a:xfrm>
              <a:off x="7033645" y="4163786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Add Student</a:t>
              </a:r>
            </a:p>
          </xdr:txBody>
        </xdr:sp>
        <xdr:pic macro="[0]!OpenAddStudent">
          <xdr:nvPicPr>
            <xdr:cNvPr id="43" name="Graphic 42" descr="Close with solid fill">
              <a:extLst>
                <a:ext uri="{FF2B5EF4-FFF2-40B4-BE49-F238E27FC236}">
                  <a16:creationId xmlns:a16="http://schemas.microsoft.com/office/drawing/2014/main" id="{7FB85A8F-6BA5-8CAA-01AD-32044B4663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rot="2580034" flipV="1">
              <a:off x="7298066" y="4311307"/>
              <a:ext cx="235581" cy="23534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F34796CD-E9E8-87C2-41D1-7E06202ACAA8}"/>
              </a:ext>
            </a:extLst>
          </xdr:cNvPr>
          <xdr:cNvGrpSpPr/>
        </xdr:nvGrpSpPr>
        <xdr:grpSpPr>
          <a:xfrm>
            <a:off x="7029532" y="5684816"/>
            <a:ext cx="1726882" cy="544756"/>
            <a:chOff x="7033263" y="5637249"/>
            <a:chExt cx="1728000" cy="540000"/>
          </a:xfrm>
        </xdr:grpSpPr>
        <xdr:sp macro="[0]!OpenExportAttendance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CA41B6DC-3E6B-4436-84E9-1CAA9FA7D301}"/>
                </a:ext>
              </a:extLst>
            </xdr:cNvPr>
            <xdr:cNvSpPr/>
          </xdr:nvSpPr>
          <xdr:spPr>
            <a:xfrm>
              <a:off x="7033263" y="563724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Export Data</a:t>
              </a:r>
            </a:p>
          </xdr:txBody>
        </xdr:sp>
        <xdr:pic macro="[0]!OpenExportAttendance">
          <xdr:nvPicPr>
            <xdr:cNvPr id="46" name="Graphic 45" descr="Cloud Computing with solid fill">
              <a:extLst>
                <a:ext uri="{FF2B5EF4-FFF2-40B4-BE49-F238E27FC236}">
                  <a16:creationId xmlns:a16="http://schemas.microsoft.com/office/drawing/2014/main" id="{8B8C8A59-340C-C9EA-04EF-2E8E395376A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7303351" y="5756310"/>
              <a:ext cx="292585" cy="295796"/>
            </a:xfrm>
            <a:prstGeom prst="rect">
              <a:avLst/>
            </a:prstGeom>
          </xdr:spPr>
        </xdr:pic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C92D5BEF-AE1C-7296-7092-A470E0697D7C}"/>
              </a:ext>
            </a:extLst>
          </xdr:cNvPr>
          <xdr:cNvGrpSpPr/>
        </xdr:nvGrpSpPr>
        <xdr:grpSpPr>
          <a:xfrm>
            <a:off x="7021095" y="4945815"/>
            <a:ext cx="1727254" cy="544756"/>
            <a:chOff x="7024826" y="4904590"/>
            <a:chExt cx="1728000" cy="540000"/>
          </a:xfrm>
        </xdr:grpSpPr>
        <xdr:sp macro="[0]!OpenEditStudent" textlink="">
          <xdr:nvSpPr>
            <xdr:cNvPr id="7" name="Rectangle: Rounded Corners 6">
              <a:extLst>
                <a:ext uri="{FF2B5EF4-FFF2-40B4-BE49-F238E27FC236}">
                  <a16:creationId xmlns:a16="http://schemas.microsoft.com/office/drawing/2014/main" id="{C0708B92-448D-451C-B1A4-97328869DD41}"/>
                </a:ext>
              </a:extLst>
            </xdr:cNvPr>
            <xdr:cNvSpPr/>
          </xdr:nvSpPr>
          <xdr:spPr>
            <a:xfrm>
              <a:off x="7024826" y="4904590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Edit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EditStudent">
          <xdr:nvPicPr>
            <xdr:cNvPr id="50" name="Graphic 49" descr="Pencil with solid fill">
              <a:extLst>
                <a:ext uri="{FF2B5EF4-FFF2-40B4-BE49-F238E27FC236}">
                  <a16:creationId xmlns:a16="http://schemas.microsoft.com/office/drawing/2014/main" id="{9349790F-6A59-886D-4FA4-93BF321C91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7302005" y="5055989"/>
              <a:ext cx="229764" cy="23222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id="{2D643328-82D5-A1A8-6C27-E0A49AB08CB3}"/>
              </a:ext>
            </a:extLst>
          </xdr:cNvPr>
          <xdr:cNvGrpSpPr/>
        </xdr:nvGrpSpPr>
        <xdr:grpSpPr>
          <a:xfrm>
            <a:off x="5195182" y="4949280"/>
            <a:ext cx="1726881" cy="544756"/>
            <a:chOff x="5197794" y="4908055"/>
            <a:chExt cx="1728000" cy="540000"/>
          </a:xfrm>
        </xdr:grpSpPr>
        <xdr:sp macro="[0]!OpenSearchStuden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91A80002-7223-4369-B386-4EAB9B1FF01D}"/>
                </a:ext>
              </a:extLst>
            </xdr:cNvPr>
            <xdr:cNvSpPr/>
          </xdr:nvSpPr>
          <xdr:spPr>
            <a:xfrm>
              <a:off x="5197794" y="490805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 Search Student</a:t>
              </a:r>
            </a:p>
          </xdr:txBody>
        </xdr:sp>
        <xdr:pic macro="[0]!OpenSearchStudent">
          <xdr:nvPicPr>
            <xdr:cNvPr id="52" name="Graphic 51" descr="Target Audience with solid fill">
              <a:extLst>
                <a:ext uri="{FF2B5EF4-FFF2-40B4-BE49-F238E27FC236}">
                  <a16:creationId xmlns:a16="http://schemas.microsoft.com/office/drawing/2014/main" id="{61903972-EAB8-3C4C-56E5-90C4F0E1E7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406395" y="5044849"/>
              <a:ext cx="277694" cy="281130"/>
            </a:xfrm>
            <a:prstGeom prst="rect">
              <a:avLst/>
            </a:prstGeom>
          </xdr:spPr>
        </xdr:pic>
      </xdr:grp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D29E9B0C-7347-DF0B-9C6A-DD7731EFECAE}"/>
              </a:ext>
            </a:extLst>
          </xdr:cNvPr>
          <xdr:cNvGrpSpPr/>
        </xdr:nvGrpSpPr>
        <xdr:grpSpPr>
          <a:xfrm>
            <a:off x="5189990" y="5685951"/>
            <a:ext cx="1726881" cy="544756"/>
            <a:chOff x="5192602" y="5638384"/>
            <a:chExt cx="1728000" cy="540000"/>
          </a:xfrm>
        </xdr:grpSpPr>
        <xdr:sp macro="[0]!OpenDeleteStudent" textlink="">
          <xdr:nvSpPr>
            <xdr:cNvPr id="15" name="Rectangle: Rounded Corners 14">
              <a:extLst>
                <a:ext uri="{FF2B5EF4-FFF2-40B4-BE49-F238E27FC236}">
                  <a16:creationId xmlns:a16="http://schemas.microsoft.com/office/drawing/2014/main" id="{5A8A64DA-B160-4B30-B1DA-8E9EC1126261}"/>
                </a:ext>
              </a:extLst>
            </xdr:cNvPr>
            <xdr:cNvSpPr/>
          </xdr:nvSpPr>
          <xdr:spPr>
            <a:xfrm>
              <a:off x="5192602" y="563838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Delete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DeleteStudent">
          <xdr:nvPicPr>
            <xdr:cNvPr id="82" name="Graphic 81" descr="Close with solid fill">
              <a:extLst>
                <a:ext uri="{FF2B5EF4-FFF2-40B4-BE49-F238E27FC236}">
                  <a16:creationId xmlns:a16="http://schemas.microsoft.com/office/drawing/2014/main" id="{D05D45B0-F712-4D87-9C0D-0FE24A930AE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 rot="5400000" flipV="1">
              <a:off x="5406198" y="5783172"/>
              <a:ext cx="224699" cy="22446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</xdr:grp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94EE8EC-409D-4261-8FC2-F982B8817769}">
  <we:reference id="wa200001584" version="3.0.5.6" store="en-U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8F84-7FAD-4EEE-B4AD-2CA191EFE66E}">
  <sheetPr codeName="Sheet1">
    <tabColor rgb="FFC435EB"/>
  </sheetPr>
  <dimension ref="A1:D12"/>
  <sheetViews>
    <sheetView showGridLines="0" showRowColHeaders="0" zoomScale="112" workbookViewId="0">
      <selection activeCell="D17" sqref="D17"/>
    </sheetView>
  </sheetViews>
  <sheetFormatPr defaultRowHeight="13.8" x14ac:dyDescent="0.3"/>
  <cols>
    <col min="1" max="1" width="16.69921875" style="17" customWidth="1"/>
    <col min="2" max="3" width="8.796875" style="17"/>
    <col min="4" max="4" width="44.8984375" style="18" customWidth="1"/>
    <col min="5" max="16384" width="8.796875" style="17"/>
  </cols>
  <sheetData>
    <row r="1" spans="1:4" ht="14.4" x14ac:dyDescent="0.3">
      <c r="A1" s="20" t="s">
        <v>10</v>
      </c>
      <c r="B1" s="17">
        <v>1084</v>
      </c>
      <c r="D1" s="19" t="s">
        <v>11</v>
      </c>
    </row>
    <row r="2" spans="1:4" x14ac:dyDescent="0.3">
      <c r="D2" s="18" t="s">
        <v>12</v>
      </c>
    </row>
    <row r="3" spans="1:4" x14ac:dyDescent="0.3">
      <c r="D3" s="18" t="s">
        <v>13</v>
      </c>
    </row>
    <row r="4" spans="1:4" x14ac:dyDescent="0.3">
      <c r="D4" s="18" t="s">
        <v>14</v>
      </c>
    </row>
    <row r="5" spans="1:4" x14ac:dyDescent="0.3">
      <c r="D5" s="18" t="s">
        <v>15</v>
      </c>
    </row>
    <row r="6" spans="1:4" x14ac:dyDescent="0.3">
      <c r="D6" s="18" t="s">
        <v>16</v>
      </c>
    </row>
    <row r="7" spans="1:4" x14ac:dyDescent="0.3">
      <c r="D7" s="18" t="s">
        <v>17</v>
      </c>
    </row>
    <row r="8" spans="1:4" x14ac:dyDescent="0.3">
      <c r="D8" s="18" t="s">
        <v>18</v>
      </c>
    </row>
    <row r="9" spans="1:4" x14ac:dyDescent="0.3">
      <c r="D9" s="18" t="s">
        <v>19</v>
      </c>
    </row>
    <row r="10" spans="1:4" x14ac:dyDescent="0.3">
      <c r="D10" s="18" t="s">
        <v>20</v>
      </c>
    </row>
    <row r="11" spans="1:4" x14ac:dyDescent="0.3">
      <c r="D11" s="18" t="s">
        <v>21</v>
      </c>
    </row>
    <row r="12" spans="1:4" x14ac:dyDescent="0.3">
      <c r="D12" s="18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8DF9-DB31-49D4-A9D0-D0CB00ECAEFC}">
  <sheetPr codeName="Sheet2">
    <tabColor theme="9" tint="-0.249977111117893"/>
  </sheetPr>
  <dimension ref="A1:H1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5" style="10" customWidth="1"/>
    <col min="2" max="2" width="10.8984375" style="10" customWidth="1"/>
    <col min="3" max="3" width="37.59765625" style="11" customWidth="1"/>
    <col min="4" max="4" width="37.5" style="11" customWidth="1"/>
    <col min="5" max="5" width="17.8984375" style="10" customWidth="1"/>
    <col min="6" max="6" width="17.69921875" style="12" customWidth="1"/>
    <col min="7" max="7" width="17.5" style="13" customWidth="1"/>
    <col min="8" max="8" width="12.8984375" style="13" customWidth="1"/>
    <col min="9" max="16384" width="8.796875" style="3"/>
  </cols>
  <sheetData>
    <row r="1" spans="1:8" s="4" customFormat="1" ht="27" customHeight="1" x14ac:dyDescent="0.3">
      <c r="A1" s="14" t="s">
        <v>6</v>
      </c>
      <c r="B1" s="14" t="s">
        <v>0</v>
      </c>
      <c r="C1" s="14" t="s">
        <v>1</v>
      </c>
      <c r="D1" s="14" t="s">
        <v>3</v>
      </c>
      <c r="E1" s="14" t="s">
        <v>2</v>
      </c>
      <c r="F1" s="15" t="s">
        <v>7</v>
      </c>
      <c r="G1" s="16" t="s">
        <v>8</v>
      </c>
      <c r="H1" s="16" t="s">
        <v>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B410-D30A-43DA-8947-BC957EE2B89C}">
  <sheetPr codeName="Sheet3">
    <tabColor theme="1" tint="0.34998626667073579"/>
  </sheetPr>
  <dimension ref="A1:F85"/>
  <sheetViews>
    <sheetView showGridLines="0" showRowColHeaders="0" zoomScale="90" zoomScaleNormal="90" workbookViewId="0">
      <pane ySplit="1" topLeftCell="A4" activePane="bottomLeft" state="frozen"/>
      <selection pane="bottomLeft"/>
    </sheetView>
  </sheetViews>
  <sheetFormatPr defaultRowHeight="13.8" x14ac:dyDescent="0.3"/>
  <cols>
    <col min="1" max="1" width="13.69921875" style="7" customWidth="1"/>
    <col min="2" max="2" width="35.59765625" style="8" customWidth="1"/>
    <col min="3" max="3" width="18.796875" style="7" customWidth="1"/>
    <col min="4" max="4" width="40.59765625" style="8" customWidth="1"/>
    <col min="5" max="5" width="46.69921875" style="8" customWidth="1"/>
    <col min="6" max="6" width="18.69921875" style="7" customWidth="1"/>
    <col min="7" max="16384" width="8.796875" style="5"/>
  </cols>
  <sheetData>
    <row r="1" spans="1:6" s="6" customFormat="1" ht="30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x14ac:dyDescent="0.3">
      <c r="A2" s="7" t="s">
        <v>31</v>
      </c>
      <c r="B2" s="8" t="s">
        <v>28</v>
      </c>
      <c r="C2" s="7">
        <v>9876501201</v>
      </c>
      <c r="D2" s="8" t="s">
        <v>21</v>
      </c>
      <c r="E2" s="8" t="s">
        <v>29</v>
      </c>
      <c r="F2" s="7" t="s">
        <v>30</v>
      </c>
    </row>
    <row r="3" spans="1:6" x14ac:dyDescent="0.3">
      <c r="A3" s="7" t="s">
        <v>32</v>
      </c>
      <c r="B3" s="8" t="s">
        <v>33</v>
      </c>
      <c r="C3" s="7">
        <v>9876501202</v>
      </c>
      <c r="D3" s="8" t="s">
        <v>22</v>
      </c>
      <c r="E3" s="8" t="s">
        <v>34</v>
      </c>
      <c r="F3" s="7" t="s">
        <v>30</v>
      </c>
    </row>
    <row r="4" spans="1:6" x14ac:dyDescent="0.3">
      <c r="A4" s="7" t="s">
        <v>35</v>
      </c>
      <c r="B4" s="8" t="s">
        <v>36</v>
      </c>
      <c r="C4" s="7">
        <v>9876501203</v>
      </c>
      <c r="D4" s="8" t="s">
        <v>16</v>
      </c>
      <c r="E4" s="8" t="s">
        <v>37</v>
      </c>
      <c r="F4" s="7" t="s">
        <v>30</v>
      </c>
    </row>
    <row r="5" spans="1:6" x14ac:dyDescent="0.3">
      <c r="A5" s="7" t="s">
        <v>38</v>
      </c>
      <c r="B5" s="8" t="s">
        <v>39</v>
      </c>
      <c r="C5" s="7">
        <v>9876501204</v>
      </c>
      <c r="D5" s="8" t="s">
        <v>22</v>
      </c>
      <c r="E5" s="8" t="s">
        <v>40</v>
      </c>
      <c r="F5" s="7" t="s">
        <v>30</v>
      </c>
    </row>
    <row r="6" spans="1:6" x14ac:dyDescent="0.3">
      <c r="A6" s="7" t="s">
        <v>41</v>
      </c>
      <c r="B6" s="8" t="s">
        <v>42</v>
      </c>
      <c r="C6" s="7">
        <v>9876501205</v>
      </c>
      <c r="D6" s="8" t="s">
        <v>22</v>
      </c>
      <c r="E6" s="8" t="s">
        <v>43</v>
      </c>
      <c r="F6" s="7" t="s">
        <v>30</v>
      </c>
    </row>
    <row r="7" spans="1:6" x14ac:dyDescent="0.3">
      <c r="A7" s="7" t="s">
        <v>27</v>
      </c>
      <c r="B7" s="8" t="s">
        <v>44</v>
      </c>
      <c r="C7" s="7">
        <v>9876501206</v>
      </c>
      <c r="D7" s="8" t="s">
        <v>16</v>
      </c>
      <c r="E7" s="8" t="s">
        <v>45</v>
      </c>
      <c r="F7" s="7" t="s">
        <v>30</v>
      </c>
    </row>
    <row r="8" spans="1:6" x14ac:dyDescent="0.3">
      <c r="A8" s="7" t="s">
        <v>46</v>
      </c>
      <c r="B8" s="8" t="s">
        <v>47</v>
      </c>
      <c r="C8" s="7">
        <v>9876501207</v>
      </c>
      <c r="D8" s="8" t="s">
        <v>16</v>
      </c>
      <c r="E8" s="8" t="s">
        <v>29</v>
      </c>
      <c r="F8" s="7" t="s">
        <v>30</v>
      </c>
    </row>
    <row r="9" spans="1:6" x14ac:dyDescent="0.3">
      <c r="A9" s="7" t="s">
        <v>48</v>
      </c>
      <c r="B9" s="8" t="s">
        <v>49</v>
      </c>
      <c r="C9" s="7">
        <v>9876501208</v>
      </c>
      <c r="D9" s="8" t="s">
        <v>22</v>
      </c>
      <c r="E9" s="8" t="s">
        <v>50</v>
      </c>
      <c r="F9" s="7" t="s">
        <v>30</v>
      </c>
    </row>
    <row r="10" spans="1:6" x14ac:dyDescent="0.3">
      <c r="A10" s="7" t="s">
        <v>51</v>
      </c>
      <c r="B10" s="8" t="s">
        <v>52</v>
      </c>
      <c r="C10" s="7">
        <v>9876501209</v>
      </c>
      <c r="D10" s="8" t="s">
        <v>21</v>
      </c>
      <c r="E10" s="8" t="s">
        <v>53</v>
      </c>
      <c r="F10" s="7" t="s">
        <v>30</v>
      </c>
    </row>
    <row r="11" spans="1:6" x14ac:dyDescent="0.3">
      <c r="A11" s="7" t="s">
        <v>54</v>
      </c>
      <c r="B11" s="8" t="s">
        <v>55</v>
      </c>
      <c r="C11" s="7">
        <v>9876501210</v>
      </c>
      <c r="D11" s="8" t="s">
        <v>21</v>
      </c>
      <c r="E11" s="8" t="s">
        <v>56</v>
      </c>
      <c r="F11" s="7" t="s">
        <v>30</v>
      </c>
    </row>
    <row r="12" spans="1:6" x14ac:dyDescent="0.3">
      <c r="A12" s="7" t="s">
        <v>57</v>
      </c>
      <c r="B12" s="8" t="s">
        <v>58</v>
      </c>
      <c r="C12" s="7">
        <v>9876501211</v>
      </c>
      <c r="D12" s="8" t="s">
        <v>22</v>
      </c>
      <c r="E12" s="8" t="s">
        <v>59</v>
      </c>
      <c r="F12" s="7" t="s">
        <v>30</v>
      </c>
    </row>
    <row r="13" spans="1:6" x14ac:dyDescent="0.3">
      <c r="A13" s="7" t="s">
        <v>60</v>
      </c>
      <c r="B13" s="8" t="s">
        <v>61</v>
      </c>
      <c r="C13" s="7">
        <v>9876501212</v>
      </c>
      <c r="D13" s="8" t="s">
        <v>22</v>
      </c>
      <c r="E13" s="8" t="s">
        <v>62</v>
      </c>
      <c r="F13" s="7" t="s">
        <v>30</v>
      </c>
    </row>
    <row r="14" spans="1:6" x14ac:dyDescent="0.3">
      <c r="A14" s="7" t="s">
        <v>63</v>
      </c>
      <c r="B14" s="8" t="s">
        <v>64</v>
      </c>
      <c r="C14" s="7">
        <v>9876501213</v>
      </c>
      <c r="D14" s="8" t="s">
        <v>22</v>
      </c>
      <c r="E14" s="8" t="s">
        <v>65</v>
      </c>
      <c r="F14" s="7" t="s">
        <v>30</v>
      </c>
    </row>
    <row r="15" spans="1:6" x14ac:dyDescent="0.3">
      <c r="A15" s="7" t="s">
        <v>66</v>
      </c>
      <c r="B15" s="8" t="s">
        <v>67</v>
      </c>
      <c r="C15" s="7">
        <v>9876501214</v>
      </c>
      <c r="D15" s="8" t="s">
        <v>16</v>
      </c>
      <c r="E15" s="8" t="s">
        <v>68</v>
      </c>
      <c r="F15" s="7" t="s">
        <v>30</v>
      </c>
    </row>
    <row r="16" spans="1:6" x14ac:dyDescent="0.3">
      <c r="A16" s="7" t="s">
        <v>69</v>
      </c>
      <c r="B16" s="8" t="s">
        <v>70</v>
      </c>
      <c r="C16" s="7">
        <v>9876501215</v>
      </c>
      <c r="D16" s="8" t="s">
        <v>16</v>
      </c>
      <c r="E16" s="8" t="s">
        <v>71</v>
      </c>
      <c r="F16" s="7" t="s">
        <v>30</v>
      </c>
    </row>
    <row r="17" spans="1:6" x14ac:dyDescent="0.3">
      <c r="A17" s="7" t="s">
        <v>72</v>
      </c>
      <c r="B17" s="8" t="s">
        <v>73</v>
      </c>
      <c r="C17" s="7">
        <v>9876501216</v>
      </c>
      <c r="D17" s="8" t="s">
        <v>21</v>
      </c>
      <c r="E17" s="8" t="s">
        <v>74</v>
      </c>
      <c r="F17" s="7" t="s">
        <v>30</v>
      </c>
    </row>
    <row r="18" spans="1:6" x14ac:dyDescent="0.3">
      <c r="A18" s="7" t="s">
        <v>75</v>
      </c>
      <c r="B18" s="8" t="s">
        <v>76</v>
      </c>
      <c r="C18" s="7">
        <v>9876501217</v>
      </c>
      <c r="D18" s="8" t="s">
        <v>16</v>
      </c>
      <c r="E18" s="8" t="s">
        <v>29</v>
      </c>
      <c r="F18" s="7" t="s">
        <v>30</v>
      </c>
    </row>
    <row r="19" spans="1:6" x14ac:dyDescent="0.3">
      <c r="A19" s="7" t="s">
        <v>77</v>
      </c>
      <c r="B19" s="8" t="s">
        <v>78</v>
      </c>
      <c r="C19" s="7">
        <v>9876501218</v>
      </c>
      <c r="D19" s="8" t="s">
        <v>21</v>
      </c>
      <c r="E19" s="8" t="s">
        <v>79</v>
      </c>
      <c r="F19" s="7" t="s">
        <v>30</v>
      </c>
    </row>
    <row r="20" spans="1:6" x14ac:dyDescent="0.3">
      <c r="A20" s="7" t="s">
        <v>80</v>
      </c>
      <c r="B20" s="8" t="s">
        <v>81</v>
      </c>
      <c r="C20" s="7">
        <v>9876501219</v>
      </c>
      <c r="D20" s="8" t="s">
        <v>16</v>
      </c>
      <c r="E20" s="8" t="s">
        <v>82</v>
      </c>
      <c r="F20" s="7" t="s">
        <v>30</v>
      </c>
    </row>
    <row r="21" spans="1:6" x14ac:dyDescent="0.3">
      <c r="A21" s="7" t="s">
        <v>83</v>
      </c>
      <c r="B21" s="8" t="s">
        <v>84</v>
      </c>
      <c r="C21" s="7">
        <v>9876501220</v>
      </c>
      <c r="D21" s="8" t="s">
        <v>22</v>
      </c>
      <c r="E21" s="8" t="s">
        <v>85</v>
      </c>
      <c r="F21" s="7" t="s">
        <v>30</v>
      </c>
    </row>
    <row r="22" spans="1:6" x14ac:dyDescent="0.3">
      <c r="A22" s="7" t="s">
        <v>86</v>
      </c>
      <c r="B22" s="8" t="s">
        <v>87</v>
      </c>
      <c r="C22" s="7">
        <v>9876501221</v>
      </c>
      <c r="D22" s="8" t="s">
        <v>16</v>
      </c>
      <c r="E22" s="8" t="s">
        <v>29</v>
      </c>
      <c r="F22" s="7" t="s">
        <v>30</v>
      </c>
    </row>
    <row r="23" spans="1:6" x14ac:dyDescent="0.3">
      <c r="A23" s="7" t="s">
        <v>88</v>
      </c>
      <c r="B23" s="8" t="s">
        <v>89</v>
      </c>
      <c r="C23" s="7">
        <v>9876501222</v>
      </c>
      <c r="D23" s="8" t="s">
        <v>16</v>
      </c>
      <c r="E23" s="8" t="s">
        <v>90</v>
      </c>
      <c r="F23" s="7" t="s">
        <v>30</v>
      </c>
    </row>
    <row r="24" spans="1:6" x14ac:dyDescent="0.3">
      <c r="A24" s="7" t="s">
        <v>91</v>
      </c>
      <c r="B24" s="8" t="s">
        <v>92</v>
      </c>
      <c r="C24" s="7">
        <v>9876501223</v>
      </c>
      <c r="D24" s="8" t="s">
        <v>22</v>
      </c>
      <c r="E24" s="8" t="s">
        <v>93</v>
      </c>
      <c r="F24" s="7" t="s">
        <v>30</v>
      </c>
    </row>
    <row r="25" spans="1:6" x14ac:dyDescent="0.3">
      <c r="A25" s="7" t="s">
        <v>94</v>
      </c>
      <c r="B25" s="8" t="s">
        <v>95</v>
      </c>
      <c r="C25" s="7">
        <v>9876501224</v>
      </c>
      <c r="D25" s="8" t="s">
        <v>21</v>
      </c>
      <c r="E25" s="8" t="s">
        <v>96</v>
      </c>
      <c r="F25" s="7" t="s">
        <v>30</v>
      </c>
    </row>
    <row r="26" spans="1:6" x14ac:dyDescent="0.3">
      <c r="A26" s="7" t="s">
        <v>97</v>
      </c>
      <c r="B26" s="8" t="s">
        <v>98</v>
      </c>
      <c r="C26" s="7">
        <v>9876501225</v>
      </c>
      <c r="D26" s="8" t="s">
        <v>21</v>
      </c>
      <c r="E26" s="8" t="s">
        <v>99</v>
      </c>
      <c r="F26" s="7" t="s">
        <v>30</v>
      </c>
    </row>
    <row r="27" spans="1:6" x14ac:dyDescent="0.3">
      <c r="A27" s="7" t="s">
        <v>100</v>
      </c>
      <c r="B27" s="8" t="s">
        <v>101</v>
      </c>
      <c r="C27" s="7">
        <v>9876501226</v>
      </c>
      <c r="D27" s="8" t="s">
        <v>16</v>
      </c>
      <c r="E27" s="8" t="s">
        <v>102</v>
      </c>
      <c r="F27" s="7" t="s">
        <v>30</v>
      </c>
    </row>
    <row r="28" spans="1:6" x14ac:dyDescent="0.3">
      <c r="A28" s="7" t="s">
        <v>103</v>
      </c>
      <c r="B28" s="8" t="s">
        <v>104</v>
      </c>
      <c r="C28" s="7">
        <v>9876501227</v>
      </c>
      <c r="D28" s="8" t="s">
        <v>12</v>
      </c>
      <c r="E28" s="8" t="s">
        <v>105</v>
      </c>
      <c r="F28" s="7" t="s">
        <v>30</v>
      </c>
    </row>
    <row r="29" spans="1:6" x14ac:dyDescent="0.3">
      <c r="A29" s="7" t="s">
        <v>106</v>
      </c>
      <c r="B29" s="8" t="s">
        <v>107</v>
      </c>
      <c r="C29" s="7">
        <v>9876501228</v>
      </c>
      <c r="D29" s="8" t="s">
        <v>15</v>
      </c>
      <c r="E29" s="8" t="s">
        <v>108</v>
      </c>
      <c r="F29" s="7" t="s">
        <v>30</v>
      </c>
    </row>
    <row r="30" spans="1:6" x14ac:dyDescent="0.3">
      <c r="A30" s="7" t="s">
        <v>109</v>
      </c>
      <c r="B30" s="8" t="s">
        <v>110</v>
      </c>
      <c r="C30" s="7">
        <v>9876501229</v>
      </c>
      <c r="D30" s="8" t="s">
        <v>17</v>
      </c>
      <c r="E30" s="8" t="s">
        <v>111</v>
      </c>
      <c r="F30" s="7" t="s">
        <v>30</v>
      </c>
    </row>
    <row r="31" spans="1:6" x14ac:dyDescent="0.3">
      <c r="A31" s="7" t="s">
        <v>112</v>
      </c>
      <c r="B31" s="8" t="s">
        <v>113</v>
      </c>
      <c r="C31" s="7">
        <v>9876501230</v>
      </c>
      <c r="D31" s="8" t="s">
        <v>17</v>
      </c>
      <c r="E31" s="8" t="s">
        <v>114</v>
      </c>
      <c r="F31" s="7" t="s">
        <v>30</v>
      </c>
    </row>
    <row r="32" spans="1:6" x14ac:dyDescent="0.3">
      <c r="A32" s="7" t="s">
        <v>115</v>
      </c>
      <c r="B32" s="8" t="s">
        <v>116</v>
      </c>
      <c r="C32" s="7">
        <v>9876501231</v>
      </c>
      <c r="D32" s="8" t="s">
        <v>18</v>
      </c>
      <c r="E32" s="8" t="s">
        <v>117</v>
      </c>
      <c r="F32" s="7" t="s">
        <v>30</v>
      </c>
    </row>
    <row r="33" spans="1:6" x14ac:dyDescent="0.3">
      <c r="A33" s="7" t="s">
        <v>118</v>
      </c>
      <c r="B33" s="8" t="s">
        <v>119</v>
      </c>
      <c r="C33" s="7">
        <v>9876501232</v>
      </c>
      <c r="D33" s="8" t="s">
        <v>19</v>
      </c>
      <c r="E33" s="8" t="s">
        <v>120</v>
      </c>
      <c r="F33" s="7" t="s">
        <v>30</v>
      </c>
    </row>
    <row r="34" spans="1:6" x14ac:dyDescent="0.3">
      <c r="A34" s="7" t="s">
        <v>121</v>
      </c>
      <c r="B34" s="8" t="s">
        <v>122</v>
      </c>
      <c r="C34" s="7">
        <v>9876501233</v>
      </c>
      <c r="D34" s="8" t="s">
        <v>21</v>
      </c>
      <c r="E34" s="8" t="s">
        <v>123</v>
      </c>
      <c r="F34" s="7" t="s">
        <v>30</v>
      </c>
    </row>
    <row r="35" spans="1:6" x14ac:dyDescent="0.3">
      <c r="A35" s="7" t="s">
        <v>124</v>
      </c>
      <c r="B35" s="8" t="s">
        <v>125</v>
      </c>
      <c r="C35" s="7">
        <v>9876501234</v>
      </c>
      <c r="D35" s="8" t="s">
        <v>14</v>
      </c>
      <c r="E35" s="8" t="s">
        <v>126</v>
      </c>
      <c r="F35" s="7" t="s">
        <v>30</v>
      </c>
    </row>
    <row r="36" spans="1:6" x14ac:dyDescent="0.3">
      <c r="A36" s="7" t="s">
        <v>127</v>
      </c>
      <c r="B36" s="8" t="s">
        <v>128</v>
      </c>
      <c r="C36" s="7">
        <v>9876501235</v>
      </c>
      <c r="D36" s="8" t="s">
        <v>12</v>
      </c>
      <c r="E36" s="8" t="s">
        <v>129</v>
      </c>
      <c r="F36" s="7" t="s">
        <v>30</v>
      </c>
    </row>
    <row r="37" spans="1:6" x14ac:dyDescent="0.3">
      <c r="A37" s="7" t="s">
        <v>130</v>
      </c>
      <c r="B37" s="8" t="s">
        <v>131</v>
      </c>
      <c r="C37" s="7">
        <v>9876501236</v>
      </c>
      <c r="D37" s="8" t="s">
        <v>19</v>
      </c>
      <c r="E37" s="8" t="s">
        <v>29</v>
      </c>
      <c r="F37" s="7" t="s">
        <v>30</v>
      </c>
    </row>
    <row r="38" spans="1:6" x14ac:dyDescent="0.3">
      <c r="A38" s="7" t="s">
        <v>132</v>
      </c>
      <c r="B38" s="8" t="s">
        <v>133</v>
      </c>
      <c r="C38" s="7">
        <v>9876501237</v>
      </c>
      <c r="D38" s="8" t="s">
        <v>14</v>
      </c>
      <c r="E38" s="8" t="s">
        <v>29</v>
      </c>
      <c r="F38" s="7" t="s">
        <v>30</v>
      </c>
    </row>
    <row r="39" spans="1:6" x14ac:dyDescent="0.3">
      <c r="A39" s="7" t="s">
        <v>134</v>
      </c>
      <c r="B39" s="8" t="s">
        <v>135</v>
      </c>
      <c r="C39" s="7">
        <v>9876501238</v>
      </c>
      <c r="D39" s="8" t="s">
        <v>15</v>
      </c>
      <c r="E39" s="8" t="s">
        <v>136</v>
      </c>
      <c r="F39" s="7" t="s">
        <v>30</v>
      </c>
    </row>
    <row r="40" spans="1:6" x14ac:dyDescent="0.3">
      <c r="A40" s="7" t="s">
        <v>137</v>
      </c>
      <c r="B40" s="8" t="s">
        <v>138</v>
      </c>
      <c r="C40" s="7">
        <v>9876501239</v>
      </c>
      <c r="D40" s="8" t="s">
        <v>16</v>
      </c>
      <c r="E40" s="8" t="s">
        <v>43</v>
      </c>
      <c r="F40" s="7" t="s">
        <v>30</v>
      </c>
    </row>
    <row r="41" spans="1:6" x14ac:dyDescent="0.3">
      <c r="A41" s="7" t="s">
        <v>139</v>
      </c>
      <c r="B41" s="8" t="s">
        <v>140</v>
      </c>
      <c r="C41" s="7">
        <v>9876501240</v>
      </c>
      <c r="D41" s="8" t="s">
        <v>12</v>
      </c>
      <c r="E41" s="8" t="s">
        <v>29</v>
      </c>
      <c r="F41" s="7" t="s">
        <v>30</v>
      </c>
    </row>
    <row r="42" spans="1:6" x14ac:dyDescent="0.3">
      <c r="A42" s="7" t="s">
        <v>141</v>
      </c>
      <c r="B42" s="8" t="s">
        <v>142</v>
      </c>
      <c r="C42" s="7">
        <v>9876501241</v>
      </c>
      <c r="D42" s="8" t="s">
        <v>14</v>
      </c>
      <c r="E42" s="8" t="s">
        <v>29</v>
      </c>
      <c r="F42" s="7" t="s">
        <v>30</v>
      </c>
    </row>
    <row r="43" spans="1:6" x14ac:dyDescent="0.3">
      <c r="A43" s="7" t="s">
        <v>143</v>
      </c>
      <c r="B43" s="8" t="s">
        <v>144</v>
      </c>
      <c r="C43" s="7">
        <v>9876501242</v>
      </c>
      <c r="D43" s="8" t="s">
        <v>15</v>
      </c>
      <c r="E43" s="8" t="s">
        <v>136</v>
      </c>
      <c r="F43" s="7" t="s">
        <v>30</v>
      </c>
    </row>
    <row r="44" spans="1:6" x14ac:dyDescent="0.3">
      <c r="A44" s="7" t="s">
        <v>145</v>
      </c>
      <c r="B44" s="8" t="s">
        <v>146</v>
      </c>
      <c r="C44" s="7">
        <v>9876501243</v>
      </c>
      <c r="D44" s="8" t="s">
        <v>20</v>
      </c>
      <c r="E44" s="8" t="s">
        <v>43</v>
      </c>
      <c r="F44" s="7" t="s">
        <v>30</v>
      </c>
    </row>
    <row r="45" spans="1:6" x14ac:dyDescent="0.3">
      <c r="A45" s="7" t="s">
        <v>147</v>
      </c>
      <c r="B45" s="8" t="s">
        <v>148</v>
      </c>
      <c r="C45" s="7">
        <v>9876501244</v>
      </c>
      <c r="D45" s="8" t="s">
        <v>19</v>
      </c>
      <c r="E45" s="8" t="s">
        <v>29</v>
      </c>
      <c r="F45" s="7" t="s">
        <v>30</v>
      </c>
    </row>
    <row r="46" spans="1:6" x14ac:dyDescent="0.3">
      <c r="A46" s="7" t="s">
        <v>149</v>
      </c>
      <c r="B46" s="8" t="s">
        <v>150</v>
      </c>
      <c r="C46" s="7">
        <v>9876501245</v>
      </c>
      <c r="D46" s="8" t="s">
        <v>15</v>
      </c>
      <c r="E46" s="8" t="s">
        <v>29</v>
      </c>
      <c r="F46" s="7" t="s">
        <v>30</v>
      </c>
    </row>
    <row r="47" spans="1:6" x14ac:dyDescent="0.3">
      <c r="A47" s="7" t="s">
        <v>151</v>
      </c>
      <c r="B47" s="8" t="s">
        <v>152</v>
      </c>
      <c r="C47" s="7">
        <v>9876501246</v>
      </c>
      <c r="D47" s="8" t="s">
        <v>17</v>
      </c>
      <c r="E47" s="8" t="s">
        <v>136</v>
      </c>
      <c r="F47" s="7" t="s">
        <v>30</v>
      </c>
    </row>
    <row r="48" spans="1:6" x14ac:dyDescent="0.3">
      <c r="A48" s="7" t="s">
        <v>153</v>
      </c>
      <c r="B48" s="8" t="s">
        <v>154</v>
      </c>
      <c r="C48" s="7">
        <v>9876501247</v>
      </c>
      <c r="D48" s="8" t="s">
        <v>19</v>
      </c>
      <c r="E48" s="8" t="s">
        <v>43</v>
      </c>
      <c r="F48" s="7" t="s">
        <v>30</v>
      </c>
    </row>
    <row r="49" spans="1:6" x14ac:dyDescent="0.3">
      <c r="A49" s="7" t="s">
        <v>155</v>
      </c>
      <c r="B49" s="8" t="s">
        <v>156</v>
      </c>
      <c r="C49" s="7">
        <v>9876501248</v>
      </c>
      <c r="D49" s="8" t="s">
        <v>15</v>
      </c>
      <c r="E49" s="8" t="s">
        <v>29</v>
      </c>
      <c r="F49" s="7" t="s">
        <v>30</v>
      </c>
    </row>
    <row r="50" spans="1:6" x14ac:dyDescent="0.3">
      <c r="A50" s="7" t="s">
        <v>157</v>
      </c>
      <c r="B50" s="8" t="s">
        <v>158</v>
      </c>
      <c r="C50" s="7">
        <v>9876501249</v>
      </c>
      <c r="D50" s="8" t="s">
        <v>13</v>
      </c>
      <c r="E50" s="8" t="s">
        <v>29</v>
      </c>
      <c r="F50" s="7" t="s">
        <v>30</v>
      </c>
    </row>
    <row r="51" spans="1:6" x14ac:dyDescent="0.3">
      <c r="A51" s="7" t="s">
        <v>159</v>
      </c>
      <c r="B51" s="8" t="s">
        <v>160</v>
      </c>
      <c r="C51" s="7">
        <v>9876501250</v>
      </c>
      <c r="D51" s="8" t="s">
        <v>12</v>
      </c>
      <c r="E51" s="8" t="s">
        <v>136</v>
      </c>
      <c r="F51" s="7" t="s">
        <v>30</v>
      </c>
    </row>
    <row r="52" spans="1:6" x14ac:dyDescent="0.3">
      <c r="A52" s="7" t="s">
        <v>161</v>
      </c>
      <c r="B52" s="8" t="s">
        <v>162</v>
      </c>
      <c r="C52" s="7">
        <v>9876501251</v>
      </c>
      <c r="D52" s="8" t="s">
        <v>12</v>
      </c>
      <c r="E52" s="8" t="s">
        <v>43</v>
      </c>
      <c r="F52" s="7" t="s">
        <v>30</v>
      </c>
    </row>
    <row r="53" spans="1:6" x14ac:dyDescent="0.3">
      <c r="A53" s="7" t="s">
        <v>163</v>
      </c>
      <c r="B53" s="8" t="s">
        <v>164</v>
      </c>
      <c r="C53" s="7">
        <v>9876501252</v>
      </c>
      <c r="D53" s="8" t="s">
        <v>13</v>
      </c>
      <c r="E53" s="8" t="s">
        <v>29</v>
      </c>
      <c r="F53" s="7" t="s">
        <v>30</v>
      </c>
    </row>
    <row r="54" spans="1:6" x14ac:dyDescent="0.3">
      <c r="A54" s="7" t="s">
        <v>165</v>
      </c>
      <c r="B54" s="8" t="s">
        <v>166</v>
      </c>
      <c r="C54" s="7">
        <v>9876501253</v>
      </c>
      <c r="D54" s="8" t="s">
        <v>19</v>
      </c>
      <c r="E54" s="8" t="s">
        <v>29</v>
      </c>
      <c r="F54" s="7" t="s">
        <v>30</v>
      </c>
    </row>
    <row r="55" spans="1:6" x14ac:dyDescent="0.3">
      <c r="A55" s="7" t="s">
        <v>167</v>
      </c>
      <c r="B55" s="8" t="s">
        <v>168</v>
      </c>
      <c r="C55" s="7">
        <v>9876501254</v>
      </c>
      <c r="D55" s="8" t="s">
        <v>18</v>
      </c>
      <c r="E55" s="8" t="s">
        <v>136</v>
      </c>
      <c r="F55" s="7" t="s">
        <v>30</v>
      </c>
    </row>
    <row r="56" spans="1:6" x14ac:dyDescent="0.3">
      <c r="A56" s="7" t="s">
        <v>169</v>
      </c>
      <c r="B56" s="8" t="s">
        <v>170</v>
      </c>
      <c r="C56" s="7">
        <v>9876501255</v>
      </c>
      <c r="D56" s="8" t="s">
        <v>15</v>
      </c>
      <c r="E56" s="8" t="s">
        <v>43</v>
      </c>
      <c r="F56" s="7" t="s">
        <v>30</v>
      </c>
    </row>
    <row r="57" spans="1:6" x14ac:dyDescent="0.3">
      <c r="A57" s="7" t="s">
        <v>171</v>
      </c>
      <c r="B57" s="8" t="s">
        <v>172</v>
      </c>
      <c r="C57" s="7">
        <v>9876501256</v>
      </c>
      <c r="D57" s="8" t="s">
        <v>18</v>
      </c>
      <c r="E57" s="8" t="s">
        <v>29</v>
      </c>
      <c r="F57" s="7" t="s">
        <v>30</v>
      </c>
    </row>
    <row r="58" spans="1:6" x14ac:dyDescent="0.3">
      <c r="A58" s="7" t="s">
        <v>173</v>
      </c>
      <c r="B58" s="8" t="s">
        <v>174</v>
      </c>
      <c r="C58" s="7">
        <v>9876501257</v>
      </c>
      <c r="D58" s="8" t="s">
        <v>21</v>
      </c>
      <c r="E58" s="8" t="s">
        <v>29</v>
      </c>
      <c r="F58" s="7" t="s">
        <v>30</v>
      </c>
    </row>
    <row r="59" spans="1:6" x14ac:dyDescent="0.3">
      <c r="A59" s="7" t="s">
        <v>175</v>
      </c>
      <c r="B59" s="8" t="s">
        <v>176</v>
      </c>
      <c r="C59" s="7">
        <v>9876501258</v>
      </c>
      <c r="D59" s="8" t="s">
        <v>18</v>
      </c>
      <c r="E59" s="8" t="s">
        <v>136</v>
      </c>
      <c r="F59" s="7" t="s">
        <v>30</v>
      </c>
    </row>
    <row r="60" spans="1:6" x14ac:dyDescent="0.3">
      <c r="A60" s="7" t="s">
        <v>177</v>
      </c>
      <c r="B60" s="8" t="s">
        <v>178</v>
      </c>
      <c r="C60" s="7">
        <v>9876501259</v>
      </c>
      <c r="D60" s="8" t="s">
        <v>12</v>
      </c>
      <c r="E60" s="8" t="s">
        <v>43</v>
      </c>
      <c r="F60" s="7" t="s">
        <v>30</v>
      </c>
    </row>
    <row r="61" spans="1:6" x14ac:dyDescent="0.3">
      <c r="A61" s="7" t="s">
        <v>179</v>
      </c>
      <c r="B61" s="8" t="s">
        <v>180</v>
      </c>
      <c r="C61" s="7">
        <v>9876501260</v>
      </c>
      <c r="D61" s="8" t="s">
        <v>17</v>
      </c>
      <c r="E61" s="8" t="s">
        <v>29</v>
      </c>
      <c r="F61" s="7" t="s">
        <v>30</v>
      </c>
    </row>
    <row r="62" spans="1:6" x14ac:dyDescent="0.3">
      <c r="A62" s="7" t="s">
        <v>181</v>
      </c>
      <c r="B62" s="8" t="s">
        <v>182</v>
      </c>
      <c r="C62" s="7">
        <v>9876501261</v>
      </c>
      <c r="D62" s="8" t="s">
        <v>19</v>
      </c>
      <c r="E62" s="8" t="s">
        <v>29</v>
      </c>
      <c r="F62" s="7" t="s">
        <v>30</v>
      </c>
    </row>
    <row r="63" spans="1:6" x14ac:dyDescent="0.3">
      <c r="A63" s="7" t="s">
        <v>183</v>
      </c>
      <c r="B63" s="8" t="s">
        <v>184</v>
      </c>
      <c r="C63" s="7">
        <v>9876501262</v>
      </c>
      <c r="D63" s="8" t="s">
        <v>13</v>
      </c>
      <c r="E63" s="8" t="s">
        <v>136</v>
      </c>
      <c r="F63" s="7" t="s">
        <v>30</v>
      </c>
    </row>
    <row r="64" spans="1:6" x14ac:dyDescent="0.3">
      <c r="A64" s="7" t="s">
        <v>185</v>
      </c>
      <c r="B64" s="8" t="s">
        <v>186</v>
      </c>
      <c r="C64" s="7">
        <v>9876501263</v>
      </c>
      <c r="D64" s="8" t="s">
        <v>15</v>
      </c>
      <c r="E64" s="8" t="s">
        <v>43</v>
      </c>
      <c r="F64" s="7" t="s">
        <v>30</v>
      </c>
    </row>
    <row r="65" spans="1:6" x14ac:dyDescent="0.3">
      <c r="A65" s="7" t="s">
        <v>187</v>
      </c>
      <c r="B65" s="8" t="s">
        <v>188</v>
      </c>
      <c r="C65" s="7">
        <v>9876501264</v>
      </c>
      <c r="D65" s="8" t="s">
        <v>16</v>
      </c>
      <c r="E65" s="8" t="s">
        <v>29</v>
      </c>
      <c r="F65" s="7" t="s">
        <v>30</v>
      </c>
    </row>
    <row r="66" spans="1:6" x14ac:dyDescent="0.3">
      <c r="A66" s="7" t="s">
        <v>189</v>
      </c>
      <c r="B66" s="8" t="s">
        <v>190</v>
      </c>
      <c r="C66" s="7">
        <v>9876501265</v>
      </c>
      <c r="D66" s="8" t="s">
        <v>15</v>
      </c>
      <c r="E66" s="8" t="s">
        <v>29</v>
      </c>
      <c r="F66" s="7" t="s">
        <v>30</v>
      </c>
    </row>
    <row r="67" spans="1:6" x14ac:dyDescent="0.3">
      <c r="A67" s="7" t="s">
        <v>191</v>
      </c>
      <c r="B67" s="8" t="s">
        <v>192</v>
      </c>
      <c r="C67" s="7">
        <v>9876501266</v>
      </c>
      <c r="D67" s="8" t="s">
        <v>14</v>
      </c>
      <c r="E67" s="8" t="s">
        <v>136</v>
      </c>
      <c r="F67" s="7" t="s">
        <v>30</v>
      </c>
    </row>
    <row r="68" spans="1:6" x14ac:dyDescent="0.3">
      <c r="A68" s="7" t="s">
        <v>193</v>
      </c>
      <c r="B68" s="8" t="s">
        <v>194</v>
      </c>
      <c r="C68" s="7">
        <v>9876501267</v>
      </c>
      <c r="D68" s="8" t="s">
        <v>15</v>
      </c>
      <c r="E68" s="8" t="s">
        <v>43</v>
      </c>
      <c r="F68" s="7" t="s">
        <v>30</v>
      </c>
    </row>
    <row r="69" spans="1:6" x14ac:dyDescent="0.3">
      <c r="A69" s="7" t="s">
        <v>195</v>
      </c>
      <c r="B69" s="8" t="s">
        <v>196</v>
      </c>
      <c r="C69" s="7">
        <v>9876501268</v>
      </c>
      <c r="D69" s="8" t="s">
        <v>17</v>
      </c>
      <c r="E69" s="8" t="s">
        <v>29</v>
      </c>
      <c r="F69" s="7" t="s">
        <v>30</v>
      </c>
    </row>
    <row r="70" spans="1:6" x14ac:dyDescent="0.3">
      <c r="A70" s="7" t="s">
        <v>197</v>
      </c>
      <c r="B70" s="8" t="s">
        <v>198</v>
      </c>
      <c r="C70" s="7">
        <v>9876501269</v>
      </c>
      <c r="D70" s="8" t="s">
        <v>18</v>
      </c>
      <c r="E70" s="8" t="s">
        <v>29</v>
      </c>
      <c r="F70" s="7" t="s">
        <v>30</v>
      </c>
    </row>
    <row r="71" spans="1:6" x14ac:dyDescent="0.3">
      <c r="A71" s="7" t="s">
        <v>199</v>
      </c>
      <c r="B71" s="8" t="s">
        <v>200</v>
      </c>
      <c r="C71" s="7">
        <v>9876501270</v>
      </c>
      <c r="D71" s="8" t="s">
        <v>18</v>
      </c>
      <c r="E71" s="8" t="s">
        <v>43</v>
      </c>
      <c r="F71" s="7" t="s">
        <v>30</v>
      </c>
    </row>
    <row r="72" spans="1:6" x14ac:dyDescent="0.3">
      <c r="A72" s="7" t="s">
        <v>201</v>
      </c>
      <c r="B72" s="8" t="s">
        <v>202</v>
      </c>
      <c r="C72" s="7">
        <v>9876501271</v>
      </c>
      <c r="D72" s="8" t="s">
        <v>13</v>
      </c>
      <c r="E72" s="8" t="s">
        <v>43</v>
      </c>
      <c r="F72" s="7" t="s">
        <v>30</v>
      </c>
    </row>
    <row r="73" spans="1:6" x14ac:dyDescent="0.3">
      <c r="A73" s="7" t="s">
        <v>203</v>
      </c>
      <c r="B73" s="8" t="s">
        <v>204</v>
      </c>
      <c r="C73" s="7">
        <v>9876501272</v>
      </c>
      <c r="D73" s="8" t="s">
        <v>15</v>
      </c>
      <c r="E73" s="8" t="s">
        <v>29</v>
      </c>
      <c r="F73" s="7" t="s">
        <v>30</v>
      </c>
    </row>
    <row r="74" spans="1:6" x14ac:dyDescent="0.3">
      <c r="A74" s="7" t="s">
        <v>205</v>
      </c>
      <c r="B74" s="8" t="s">
        <v>206</v>
      </c>
      <c r="C74" s="7">
        <v>9876501273</v>
      </c>
      <c r="D74" s="8" t="s">
        <v>17</v>
      </c>
      <c r="E74" s="8" t="s">
        <v>29</v>
      </c>
      <c r="F74" s="7" t="s">
        <v>30</v>
      </c>
    </row>
    <row r="75" spans="1:6" x14ac:dyDescent="0.3">
      <c r="A75" s="7" t="s">
        <v>207</v>
      </c>
      <c r="B75" s="8" t="s">
        <v>208</v>
      </c>
      <c r="C75" s="7">
        <v>9876501274</v>
      </c>
      <c r="D75" s="8" t="s">
        <v>21</v>
      </c>
      <c r="E75" s="8" t="s">
        <v>136</v>
      </c>
      <c r="F75" s="7" t="s">
        <v>30</v>
      </c>
    </row>
    <row r="76" spans="1:6" x14ac:dyDescent="0.3">
      <c r="A76" s="7" t="s">
        <v>209</v>
      </c>
      <c r="B76" s="8" t="s">
        <v>210</v>
      </c>
      <c r="C76" s="7">
        <v>9876501275</v>
      </c>
      <c r="D76" s="8" t="s">
        <v>15</v>
      </c>
      <c r="E76" s="8" t="s">
        <v>43</v>
      </c>
      <c r="F76" s="7" t="s">
        <v>30</v>
      </c>
    </row>
    <row r="77" spans="1:6" x14ac:dyDescent="0.3">
      <c r="A77" s="7" t="s">
        <v>211</v>
      </c>
      <c r="B77" s="8" t="s">
        <v>212</v>
      </c>
      <c r="C77" s="7">
        <v>9876501276</v>
      </c>
      <c r="D77" s="8" t="s">
        <v>19</v>
      </c>
      <c r="E77" s="8" t="s">
        <v>29</v>
      </c>
      <c r="F77" s="7" t="s">
        <v>30</v>
      </c>
    </row>
    <row r="78" spans="1:6" x14ac:dyDescent="0.3">
      <c r="A78" s="7" t="s">
        <v>213</v>
      </c>
      <c r="B78" s="8" t="s">
        <v>214</v>
      </c>
      <c r="C78" s="7">
        <v>9834512701</v>
      </c>
      <c r="D78" s="8" t="s">
        <v>22</v>
      </c>
      <c r="E78" s="8" t="s">
        <v>215</v>
      </c>
      <c r="F78" s="7" t="s">
        <v>30</v>
      </c>
    </row>
    <row r="79" spans="1:6" x14ac:dyDescent="0.3">
      <c r="A79" s="7" t="s">
        <v>216</v>
      </c>
      <c r="B79" s="8" t="s">
        <v>217</v>
      </c>
      <c r="C79" s="7">
        <v>9834512702</v>
      </c>
      <c r="D79" s="8" t="s">
        <v>20</v>
      </c>
      <c r="E79" s="8" t="s">
        <v>218</v>
      </c>
      <c r="F79" s="7" t="s">
        <v>30</v>
      </c>
    </row>
    <row r="80" spans="1:6" x14ac:dyDescent="0.3">
      <c r="A80" s="7" t="s">
        <v>219</v>
      </c>
      <c r="B80" s="8" t="s">
        <v>220</v>
      </c>
      <c r="C80" s="7">
        <v>9834512703</v>
      </c>
      <c r="D80" s="8" t="s">
        <v>20</v>
      </c>
      <c r="E80" s="8" t="s">
        <v>221</v>
      </c>
      <c r="F80" s="7" t="s">
        <v>30</v>
      </c>
    </row>
    <row r="81" spans="1:6" x14ac:dyDescent="0.3">
      <c r="A81" s="7" t="s">
        <v>222</v>
      </c>
      <c r="B81" s="8" t="s">
        <v>223</v>
      </c>
      <c r="C81" s="7">
        <v>9834512704</v>
      </c>
      <c r="D81" s="8" t="s">
        <v>21</v>
      </c>
      <c r="E81" s="8" t="s">
        <v>224</v>
      </c>
      <c r="F81" s="7" t="s">
        <v>30</v>
      </c>
    </row>
    <row r="82" spans="1:6" x14ac:dyDescent="0.3">
      <c r="A82" s="7" t="s">
        <v>225</v>
      </c>
      <c r="B82" s="8" t="s">
        <v>226</v>
      </c>
      <c r="C82" s="7">
        <v>9834512705</v>
      </c>
      <c r="D82" s="8" t="s">
        <v>16</v>
      </c>
      <c r="E82" s="8" t="s">
        <v>227</v>
      </c>
      <c r="F82" s="7" t="s">
        <v>30</v>
      </c>
    </row>
    <row r="83" spans="1:6" x14ac:dyDescent="0.3">
      <c r="A83" s="7" t="s">
        <v>228</v>
      </c>
      <c r="B83" s="8" t="s">
        <v>229</v>
      </c>
      <c r="C83" s="7">
        <v>9834512706</v>
      </c>
      <c r="D83" s="8" t="s">
        <v>15</v>
      </c>
      <c r="E83" s="8" t="s">
        <v>230</v>
      </c>
      <c r="F83" s="7" t="s">
        <v>30</v>
      </c>
    </row>
    <row r="84" spans="1:6" x14ac:dyDescent="0.3">
      <c r="A84" s="7" t="s">
        <v>231</v>
      </c>
      <c r="B84" s="8" t="s">
        <v>232</v>
      </c>
      <c r="C84" s="7">
        <v>9834512707</v>
      </c>
      <c r="D84" s="8" t="s">
        <v>12</v>
      </c>
      <c r="E84" s="8" t="s">
        <v>233</v>
      </c>
      <c r="F84" s="7" t="s">
        <v>30</v>
      </c>
    </row>
    <row r="85" spans="1:6" x14ac:dyDescent="0.3">
      <c r="A85" s="7" t="s">
        <v>234</v>
      </c>
      <c r="B85" s="8" t="s">
        <v>235</v>
      </c>
      <c r="C85" s="7">
        <v>9834512708</v>
      </c>
      <c r="D85" s="8" t="s">
        <v>12</v>
      </c>
      <c r="E85" s="8" t="s">
        <v>236</v>
      </c>
      <c r="F85" s="7" t="s">
        <v>30</v>
      </c>
    </row>
  </sheetData>
  <pageMargins left="0.25" right="0.25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5677-AF72-4108-A0A1-F834F5F48060}">
  <sheetPr codeName="Sheet4">
    <tabColor rgb="FF75C4E7"/>
  </sheetPr>
  <dimension ref="Q1:T92"/>
  <sheetViews>
    <sheetView showGridLines="0" showRowColHeaders="0" tabSelected="1" zoomScale="60" zoomScaleNormal="145" zoomScaleSheetLayoutView="86" workbookViewId="0">
      <selection activeCell="W70" sqref="W70"/>
    </sheetView>
  </sheetViews>
  <sheetFormatPr defaultColWidth="8" defaultRowHeight="14.4" x14ac:dyDescent="0.3"/>
  <cols>
    <col min="1" max="15" width="8.796875" style="2" customWidth="1"/>
    <col min="16" max="16" width="9.5" style="2" customWidth="1"/>
    <col min="17" max="20" width="8.796875" style="2" hidden="1" customWidth="1"/>
    <col min="21" max="40" width="8.796875" style="2" customWidth="1"/>
    <col min="41" max="16384" width="8" style="2"/>
  </cols>
  <sheetData>
    <row r="1" s="2" customFormat="1" x14ac:dyDescent="0.3"/>
    <row r="2" s="2" customFormat="1" x14ac:dyDescent="0.3"/>
    <row r="3" s="2" customFormat="1" x14ac:dyDescent="0.3"/>
    <row r="4" s="2" customFormat="1" x14ac:dyDescent="0.3"/>
    <row r="5" s="2" customFormat="1" x14ac:dyDescent="0.3"/>
    <row r="6" s="2" customFormat="1" x14ac:dyDescent="0.3"/>
    <row r="7" s="2" customFormat="1" x14ac:dyDescent="0.3"/>
    <row r="8" s="2" customFormat="1" x14ac:dyDescent="0.3"/>
    <row r="9" s="2" customFormat="1" x14ac:dyDescent="0.3"/>
    <row r="10" s="2" customFormat="1" x14ac:dyDescent="0.3"/>
    <row r="11" s="2" customFormat="1" x14ac:dyDescent="0.3"/>
    <row r="12" s="2" customFormat="1" x14ac:dyDescent="0.3"/>
    <row r="13" s="2" customFormat="1" x14ac:dyDescent="0.3"/>
    <row r="14" s="2" customFormat="1" x14ac:dyDescent="0.3"/>
    <row r="15" s="2" customFormat="1" x14ac:dyDescent="0.3"/>
    <row r="16" s="2" customFormat="1" x14ac:dyDescent="0.3"/>
    <row r="17" s="2" customFormat="1" x14ac:dyDescent="0.3"/>
    <row r="18" s="2" customFormat="1" x14ac:dyDescent="0.3"/>
    <row r="19" s="2" customFormat="1" x14ac:dyDescent="0.3"/>
    <row r="20" s="2" customFormat="1" x14ac:dyDescent="0.3"/>
    <row r="21" s="2" customFormat="1" x14ac:dyDescent="0.3"/>
    <row r="22" s="2" customFormat="1" x14ac:dyDescent="0.3"/>
    <row r="23" s="2" customFormat="1" x14ac:dyDescent="0.3"/>
    <row r="24" s="2" customFormat="1" x14ac:dyDescent="0.3"/>
    <row r="25" s="2" customFormat="1" x14ac:dyDescent="0.3"/>
    <row r="26" s="2" customFormat="1" x14ac:dyDescent="0.3"/>
    <row r="27" s="2" customFormat="1" x14ac:dyDescent="0.3"/>
    <row r="28" s="2" customFormat="1" x14ac:dyDescent="0.3"/>
    <row r="29" s="2" customFormat="1" x14ac:dyDescent="0.3"/>
    <row r="30" s="2" customFormat="1" x14ac:dyDescent="0.3"/>
    <row r="31" s="2" customFormat="1" x14ac:dyDescent="0.3"/>
    <row r="32" s="2" customFormat="1" x14ac:dyDescent="0.3"/>
    <row r="33" s="2" customFormat="1" x14ac:dyDescent="0.3"/>
    <row r="34" s="2" customFormat="1" x14ac:dyDescent="0.3"/>
    <row r="35" s="2" customFormat="1" x14ac:dyDescent="0.3"/>
    <row r="36" s="2" customFormat="1" x14ac:dyDescent="0.3"/>
    <row r="37" s="2" customFormat="1" x14ac:dyDescent="0.3"/>
    <row r="38" s="2" customFormat="1" x14ac:dyDescent="0.3"/>
    <row r="39" s="2" customFormat="1" x14ac:dyDescent="0.3"/>
    <row r="40" s="2" customFormat="1" x14ac:dyDescent="0.3"/>
    <row r="41" s="2" customFormat="1" x14ac:dyDescent="0.3"/>
    <row r="42" s="2" customFormat="1" x14ac:dyDescent="0.3"/>
    <row r="43" s="2" customFormat="1" x14ac:dyDescent="0.3"/>
    <row r="44" s="2" customFormat="1" x14ac:dyDescent="0.3"/>
    <row r="45" s="2" customFormat="1" x14ac:dyDescent="0.3"/>
    <row r="46" s="2" customFormat="1" x14ac:dyDescent="0.3"/>
    <row r="47" s="2" customFormat="1" x14ac:dyDescent="0.3"/>
    <row r="48" s="2" customFormat="1" x14ac:dyDescent="0.3"/>
    <row r="49" s="2" customFormat="1" x14ac:dyDescent="0.3"/>
    <row r="50" s="2" customFormat="1" x14ac:dyDescent="0.3"/>
    <row r="51" s="2" customFormat="1" x14ac:dyDescent="0.3"/>
    <row r="52" s="2" customFormat="1" x14ac:dyDescent="0.3"/>
    <row r="53" s="2" customFormat="1" x14ac:dyDescent="0.3"/>
    <row r="54" s="2" customFormat="1" x14ac:dyDescent="0.3"/>
    <row r="55" s="2" customFormat="1" x14ac:dyDescent="0.3"/>
    <row r="56" s="2" customFormat="1" x14ac:dyDescent="0.3"/>
    <row r="57" s="2" customFormat="1" x14ac:dyDescent="0.3"/>
    <row r="58" s="2" customFormat="1" x14ac:dyDescent="0.3"/>
    <row r="59" s="2" customFormat="1" x14ac:dyDescent="0.3"/>
    <row r="60" s="2" customFormat="1" x14ac:dyDescent="0.3"/>
    <row r="61" s="2" customFormat="1" x14ac:dyDescent="0.3"/>
    <row r="62" s="2" customFormat="1" x14ac:dyDescent="0.3"/>
    <row r="63" s="2" customFormat="1" x14ac:dyDescent="0.3"/>
    <row r="64" s="2" customFormat="1" x14ac:dyDescent="0.3"/>
    <row r="65" s="2" customFormat="1" x14ac:dyDescent="0.3"/>
    <row r="66" s="2" customFormat="1" x14ac:dyDescent="0.3"/>
    <row r="67" s="2" customFormat="1" x14ac:dyDescent="0.3"/>
    <row r="68" s="2" customFormat="1" x14ac:dyDescent="0.3"/>
    <row r="69" s="2" customFormat="1" x14ac:dyDescent="0.3"/>
    <row r="70" s="2" customFormat="1" x14ac:dyDescent="0.3"/>
    <row r="71" s="2" customFormat="1" x14ac:dyDescent="0.3"/>
    <row r="72" s="2" customFormat="1" x14ac:dyDescent="0.3"/>
    <row r="73" s="2" customFormat="1" x14ac:dyDescent="0.3"/>
    <row r="74" s="2" customFormat="1" x14ac:dyDescent="0.3"/>
    <row r="75" s="2" customFormat="1" x14ac:dyDescent="0.3"/>
    <row r="76" s="2" customFormat="1" x14ac:dyDescent="0.3"/>
    <row r="77" s="2" customFormat="1" x14ac:dyDescent="0.3"/>
    <row r="78" s="2" customFormat="1" x14ac:dyDescent="0.3"/>
    <row r="79" s="2" customFormat="1" x14ac:dyDescent="0.3"/>
    <row r="80" s="2" customFormat="1" x14ac:dyDescent="0.3"/>
    <row r="81" s="2" customFormat="1" x14ac:dyDescent="0.3"/>
    <row r="82" s="2" customFormat="1" x14ac:dyDescent="0.3"/>
    <row r="83" s="2" customFormat="1" x14ac:dyDescent="0.3"/>
    <row r="84" s="2" customFormat="1" x14ac:dyDescent="0.3"/>
    <row r="85" s="2" customFormat="1" x14ac:dyDescent="0.3"/>
    <row r="86" s="2" customFormat="1" x14ac:dyDescent="0.3"/>
    <row r="87" s="2" customFormat="1" x14ac:dyDescent="0.3"/>
    <row r="88" s="2" customFormat="1" x14ac:dyDescent="0.3"/>
    <row r="89" s="2" customFormat="1" x14ac:dyDescent="0.3"/>
    <row r="90" s="2" customFormat="1" x14ac:dyDescent="0.3"/>
    <row r="91" s="2" customFormat="1" x14ac:dyDescent="0.3"/>
    <row r="92" s="2" customFormat="1" x14ac:dyDescent="0.3"/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79256-E88D-4911-8D00-D0C6BDC8940A}">
  <sheetPr codeName="Sheet5">
    <tabColor theme="7" tint="0.39997558519241921"/>
  </sheetPr>
  <dimension ref="A2:B5"/>
  <sheetViews>
    <sheetView showGridLines="0" workbookViewId="0">
      <selection activeCell="F4" sqref="F4"/>
    </sheetView>
  </sheetViews>
  <sheetFormatPr defaultRowHeight="14.4" x14ac:dyDescent="0.3"/>
  <cols>
    <col min="1" max="1" width="16" customWidth="1"/>
    <col min="4" max="6" width="8"/>
    <col min="7" max="7" width="14.296875" bestFit="1" customWidth="1"/>
  </cols>
  <sheetData>
    <row r="2" spans="1:2" x14ac:dyDescent="0.3">
      <c r="A2" t="s">
        <v>23</v>
      </c>
      <c r="B2" s="1">
        <f>COUNTA(Student_Data!A:A)-1</f>
        <v>84</v>
      </c>
    </row>
    <row r="3" spans="1:2" x14ac:dyDescent="0.3">
      <c r="A3" t="s">
        <v>24</v>
      </c>
      <c r="B3">
        <f ca="1">COUNTIFS(Student_Entry!F:F,TODAY(),
          Student_Entry!G:G,"&lt;&gt;")</f>
        <v>0</v>
      </c>
    </row>
    <row r="4" spans="1:2" x14ac:dyDescent="0.3">
      <c r="A4" t="s">
        <v>25</v>
      </c>
      <c r="B4">
        <f ca="1">COUNTIFS(Student_Entry!F:F,TODAY(),
          Student_Entry!H:H,"&lt;&gt;")</f>
        <v>0</v>
      </c>
    </row>
    <row r="5" spans="1:2" x14ac:dyDescent="0.3">
      <c r="A5" t="s">
        <v>26</v>
      </c>
      <c r="B5">
        <f ca="1">SUM(B3:B4)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B70A-CE93-4884-BBD8-2E392D055ED3}">
  <sheetPr codeName="Sheet6">
    <tabColor theme="6" tint="0.39997558519241921"/>
  </sheetPr>
  <dimension ref="A1"/>
  <sheetViews>
    <sheetView showGridLines="0" workbookViewId="0">
      <selection activeCell="G18" sqref="G1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sangle</dc:creator>
  <cp:lastModifiedBy>ankit sangle</cp:lastModifiedBy>
  <dcterms:created xsi:type="dcterms:W3CDTF">2026-06-06T07:01:22Z</dcterms:created>
  <dcterms:modified xsi:type="dcterms:W3CDTF">2026-06-28T11:46:11Z</dcterms:modified>
</cp:coreProperties>
</file>