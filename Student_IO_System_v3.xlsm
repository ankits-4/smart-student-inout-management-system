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f8336515d4bc593c/Desktop/Student_IO_system/New folder/"/>
    </mc:Choice>
  </mc:AlternateContent>
  <xr:revisionPtr revIDLastSave="2873" documentId="8_{4F335937-9BCE-4A0D-A8AB-0349FF4EFD04}" xr6:coauthVersionLast="47" xr6:coauthVersionMax="47" xr10:uidLastSave="{C7E909F0-30C1-4E0E-B483-6DC40DDCF545}"/>
  <bookViews>
    <workbookView xWindow="-108" yWindow="-108" windowWidth="23256" windowHeight="13176" tabRatio="593" activeTab="1" xr2:uid="{2F8A8668-12ED-4DE8-9699-47D93A5CB942}"/>
  </bookViews>
  <sheets>
    <sheet name="Settings" sheetId="1" r:id="rId1"/>
    <sheet name="Home" sheetId="4" r:id="rId2"/>
    <sheet name="Student_Data" sheetId="3" r:id="rId3"/>
    <sheet name="Student_Entry" sheetId="2" r:id="rId4"/>
    <sheet name="Pivot" sheetId="6" r:id="rId5"/>
    <sheet name="Dashboard" sheetId="5" r:id="rId6"/>
  </sheets>
  <functionGroups builtInGroupCount="19"/>
  <definedNames>
    <definedName name="_xlnm._FilterDatabase" localSheetId="2" hidden="1">Student_Data!$A$1:$F$37</definedName>
    <definedName name="solver_eng" localSheetId="4" hidden="1">1</definedName>
    <definedName name="solver_neg" localSheetId="4" hidden="1">1</definedName>
    <definedName name="solver_num" localSheetId="4" hidden="1">0</definedName>
    <definedName name="solver_opt" localSheetId="4" hidden="1">Pivot!$G$17</definedName>
    <definedName name="solver_typ" localSheetId="4" hidden="1">1</definedName>
    <definedName name="solver_val" localSheetId="4" hidden="1">0</definedName>
    <definedName name="solver_ver" localSheetId="4" hidden="1">3</definedName>
  </definedNames>
  <calcPr calcId="191029"/>
  <pivotCaches>
    <pivotCache cacheId="426" r:id="rId7"/>
    <pivotCache cacheId="438" r:id="rId8"/>
    <pivotCache cacheId="44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6" i="2" l="1"/>
  <c r="J296" i="2"/>
  <c r="K296" i="2"/>
  <c r="L296" i="2"/>
  <c r="I295" i="2"/>
  <c r="J295" i="2"/>
  <c r="K295" i="2"/>
  <c r="L295" i="2"/>
  <c r="I294" i="2"/>
  <c r="J294" i="2"/>
  <c r="K294" i="2"/>
  <c r="L294" i="2"/>
  <c r="I293" i="2"/>
  <c r="J293" i="2"/>
  <c r="K293" i="2"/>
  <c r="L293" i="2"/>
  <c r="B59" i="6"/>
  <c r="B58" i="6"/>
  <c r="L13" i="2"/>
  <c r="L2" i="2"/>
  <c r="L3" i="2"/>
  <c r="L4" i="2"/>
  <c r="L5" i="2"/>
  <c r="L6" i="2"/>
  <c r="L7" i="2"/>
  <c r="L8" i="2"/>
  <c r="L9" i="2"/>
  <c r="L10" i="2"/>
  <c r="L11" i="2"/>
  <c r="L12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B63" i="5"/>
  <c r="B62" i="5"/>
  <c r="B61" i="5"/>
  <c r="B60" i="5"/>
  <c r="B57" i="5"/>
  <c r="B58" i="5"/>
  <c r="B56" i="5"/>
  <c r="B5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Ankit</author>
  </authors>
  <commentList>
    <comment ref="A1" authorId="0" shapeId="0" xr:uid="{A03441C2-7250-4633-9C6E-34E2C263DBA0}">
      <text>
        <r>
          <rPr>
            <sz val="10"/>
            <color indexed="32"/>
            <rFont val="Times New Roman"/>
            <family val="1"/>
          </rPr>
          <t xml:space="preserve">Ankit Sangale:
This shows that the last student id genrated id. 
You can reset this id with 1000 after that student id will automatically starts genrating from 1000.
</t>
        </r>
      </text>
    </comment>
    <comment ref="D1" authorId="0" shapeId="0" xr:uid="{6E2BBB3C-B2D4-482C-872D-8591ACB1708F}">
      <text>
        <r>
          <rPr>
            <b/>
            <sz val="10"/>
            <color indexed="18"/>
            <rFont val="Times New Roman"/>
            <family val="1"/>
          </rPr>
          <t>Ankit Sangale:</t>
        </r>
        <r>
          <rPr>
            <sz val="10"/>
            <color indexed="18"/>
            <rFont val="Times New Roman"/>
            <family val="1"/>
          </rPr>
          <t xml:space="preserve">
You can add or remove courses from this row.
And the changes will be automatically update in the UserForm and VBA.</t>
        </r>
      </text>
    </comment>
    <comment ref="E1" authorId="0" shapeId="0" xr:uid="{6F9EC749-48C3-4194-8B2F-AF5AE07E20D5}">
      <text>
        <r>
          <rPr>
            <b/>
            <sz val="10"/>
            <color indexed="18"/>
            <rFont val="Times New Roman"/>
            <family val="1"/>
          </rPr>
          <t>Ankit sangale:</t>
        </r>
        <r>
          <rPr>
            <sz val="10"/>
            <color indexed="18"/>
            <rFont val="Times New Roman"/>
            <family val="1"/>
          </rPr>
          <t xml:space="preserve">
This list is only for reference not used in project.</t>
        </r>
      </text>
    </comment>
  </commentList>
</comments>
</file>

<file path=xl/sharedStrings.xml><?xml version="1.0" encoding="utf-8"?>
<sst xmlns="http://schemas.openxmlformats.org/spreadsheetml/2006/main" count="1622" uniqueCount="374">
  <si>
    <t>Student_ID</t>
  </si>
  <si>
    <t>Name</t>
  </si>
  <si>
    <t>Mobile</t>
  </si>
  <si>
    <t>Course</t>
  </si>
  <si>
    <t>Address</t>
  </si>
  <si>
    <t>Status</t>
  </si>
  <si>
    <t>SrNo</t>
  </si>
  <si>
    <t>Date</t>
  </si>
  <si>
    <t>In_Time</t>
  </si>
  <si>
    <t>Out_Time</t>
  </si>
  <si>
    <t>LastStudentID</t>
  </si>
  <si>
    <t>Course List</t>
  </si>
  <si>
    <t>AUTOMOTIVE CAD TECHNICIAN</t>
  </si>
  <si>
    <t>AUTOMOTIVE ASSEMBLY TECHNICIAN</t>
  </si>
  <si>
    <t>ELECTRIC VEHICLE PRODUCT DESIGN ENGINEER</t>
  </si>
  <si>
    <t>ASSEMBLY OPERATOR - RAC</t>
  </si>
  <si>
    <t>CLOUD APPLICATION DEVELOPER</t>
  </si>
  <si>
    <t>ANALYST END POINT SECURITY CYBERSECURITY</t>
  </si>
  <si>
    <t>ANALYST COMPLIANCE AUDIT- CYBERSECURITY</t>
  </si>
  <si>
    <t>IOT - NETWORK SPECIALIST</t>
  </si>
  <si>
    <t>IOT - DOMAIN SPECIALIST</t>
  </si>
  <si>
    <t>AI MACHINE LEARNING ENGINEER</t>
  </si>
  <si>
    <t>AI - BUSINESS INTELLIGENCE ANALYSIS</t>
  </si>
  <si>
    <t>ST1006</t>
  </si>
  <si>
    <t>Aarav Rajesh Sharma</t>
  </si>
  <si>
    <t>Pune, Maharashtra</t>
  </si>
  <si>
    <t>OUT</t>
  </si>
  <si>
    <t>ST1001</t>
  </si>
  <si>
    <t>ST1002</t>
  </si>
  <si>
    <t>Ananya Sunil Patil</t>
  </si>
  <si>
    <t>Nashik, Maharashtra</t>
  </si>
  <si>
    <t>ST1003</t>
  </si>
  <si>
    <t>Vivaan Sanjay Gupta</t>
  </si>
  <si>
    <t>Nagpur, Maharashtra</t>
  </si>
  <si>
    <t>ST1004</t>
  </si>
  <si>
    <t>Diya Mahesh Joshi</t>
  </si>
  <si>
    <t>Mumbai, Maharashtra</t>
  </si>
  <si>
    <t>ST1005</t>
  </si>
  <si>
    <t>Aditya Prakash Kulkarni</t>
  </si>
  <si>
    <t>Chhatrapati Sambhajinagar, Maharashtra</t>
  </si>
  <si>
    <t>Isha Vijay Deshmukh</t>
  </si>
  <si>
    <t>Jalna, Maharashtra</t>
  </si>
  <si>
    <t>ST1007</t>
  </si>
  <si>
    <t>Arjun Rakesh Mehta</t>
  </si>
  <si>
    <t>ST1008</t>
  </si>
  <si>
    <t>Kavya Manoj Singh</t>
  </si>
  <si>
    <t>Kolhapur, Maharashtra</t>
  </si>
  <si>
    <t>ST1009</t>
  </si>
  <si>
    <t>Rohan Suresh Nair</t>
  </si>
  <si>
    <t>Solapur, Maharashtra</t>
  </si>
  <si>
    <t>ST1010</t>
  </si>
  <si>
    <t>Sneha Dinesh Verma</t>
  </si>
  <si>
    <t>Satara, Maharashtra</t>
  </si>
  <si>
    <t>ST1011</t>
  </si>
  <si>
    <t>Karan Ashok Chavan</t>
  </si>
  <si>
    <t>Sangli, Maharashtra</t>
  </si>
  <si>
    <t>ST1012</t>
  </si>
  <si>
    <t>Priya Ramesh Yadav</t>
  </si>
  <si>
    <t>ST1013</t>
  </si>
  <si>
    <t>Rahul Dilip More</t>
  </si>
  <si>
    <t>Beed, Maharashtra</t>
  </si>
  <si>
    <t>ST1014</t>
  </si>
  <si>
    <t>Neha Anil Mishra</t>
  </si>
  <si>
    <t>Latur, Maharashtra</t>
  </si>
  <si>
    <t>ST1015</t>
  </si>
  <si>
    <t>Siddharth Mukesh Jain</t>
  </si>
  <si>
    <t>Akola, Maharashtra</t>
  </si>
  <si>
    <t>ST1016</t>
  </si>
  <si>
    <t>Pooja Shrikant Pawar</t>
  </si>
  <si>
    <t>Dharashiv, Maharashtra</t>
  </si>
  <si>
    <t>ST1017</t>
  </si>
  <si>
    <t>Akash Chandrakant Shinde</t>
  </si>
  <si>
    <t>ST1018</t>
  </si>
  <si>
    <t>Riya Amit Kapoor</t>
  </si>
  <si>
    <t>Thane, Maharashtra</t>
  </si>
  <si>
    <t>ST1019</t>
  </si>
  <si>
    <t>Nikhil Vinod Bhosale</t>
  </si>
  <si>
    <t>Jalgaon, Maharashtra</t>
  </si>
  <si>
    <t>ST1020</t>
  </si>
  <si>
    <t>Aditi Milind Kulkarni</t>
  </si>
  <si>
    <t>Amravati, Maharashtra</t>
  </si>
  <si>
    <t>ST1021</t>
  </si>
  <si>
    <t>Yash Ganesh Patil</t>
  </si>
  <si>
    <t>ST1022</t>
  </si>
  <si>
    <t>Meera Krishnan Iyer</t>
  </si>
  <si>
    <t>Navi Mumbai, Maharashtra</t>
  </si>
  <si>
    <t>ST1023</t>
  </si>
  <si>
    <t>Omkar Shashikant Jadhav</t>
  </si>
  <si>
    <t>Parbhani, Maharashtra</t>
  </si>
  <si>
    <t>ST1024</t>
  </si>
  <si>
    <t>Shruti Ravindra Naik</t>
  </si>
  <si>
    <t>Nanded, Maharashtra</t>
  </si>
  <si>
    <t>ST1025</t>
  </si>
  <si>
    <t>Harsh Deepak Agrawal</t>
  </si>
  <si>
    <t>Wardha, Maharashtra</t>
  </si>
  <si>
    <t>ST1026</t>
  </si>
  <si>
    <t>Sanika Uday Gokhale</t>
  </si>
  <si>
    <t>Chandrapur, Maharashtra</t>
  </si>
  <si>
    <t>ST1027</t>
  </si>
  <si>
    <t>Atharva Baban Salunkhe</t>
  </si>
  <si>
    <t>Ratnagiri, Maharashtra</t>
  </si>
  <si>
    <t>ST1028</t>
  </si>
  <si>
    <t>Tanvi Pravin Bendre</t>
  </si>
  <si>
    <t>Sindhudurg, Maharashtra</t>
  </si>
  <si>
    <t>ST1029</t>
  </si>
  <si>
    <t>Devendra Haribhau Kale</t>
  </si>
  <si>
    <t>Hingoli, Maharashtra</t>
  </si>
  <si>
    <t>ST1030</t>
  </si>
  <si>
    <t>Sakshi Narendra Thakur</t>
  </si>
  <si>
    <t>Washim, Maharashtra</t>
  </si>
  <si>
    <t>ST1031</t>
  </si>
  <si>
    <t>Pranav Santosh Raut</t>
  </si>
  <si>
    <t>Buldhana, Maharashtra</t>
  </si>
  <si>
    <t>ST1032</t>
  </si>
  <si>
    <t>Mansi Rajendra Choudhary</t>
  </si>
  <si>
    <t xml:space="preserve">Yavatmal, Maharashtra </t>
  </si>
  <si>
    <t>ST1033</t>
  </si>
  <si>
    <t>Tushar Subhash Khedekar</t>
  </si>
  <si>
    <t>Gondia, Maharashtra</t>
  </si>
  <si>
    <t>ST1034</t>
  </si>
  <si>
    <t>Nandini Srinivas Rao</t>
  </si>
  <si>
    <t>Gadchiroli, Maharashtra</t>
  </si>
  <si>
    <t>ST1035</t>
  </si>
  <si>
    <t>Abhishek Omprakash Tiwari</t>
  </si>
  <si>
    <t>Dhule, Maharashtra</t>
  </si>
  <si>
    <t>ST1036</t>
  </si>
  <si>
    <t>Muskan Imran Sheikh</t>
  </si>
  <si>
    <t>ST1037</t>
  </si>
  <si>
    <t>Rohit Sunil Jagtap</t>
  </si>
  <si>
    <t>ST1038</t>
  </si>
  <si>
    <t>Vaishnavi Prakash Pawar</t>
  </si>
  <si>
    <t>Ahilya Nagar, Maharashtra</t>
  </si>
  <si>
    <t>ST1039</t>
  </si>
  <si>
    <t>Saurabh Mahadev Shinde</t>
  </si>
  <si>
    <t>ST1040</t>
  </si>
  <si>
    <t>Snehal Vijay More</t>
  </si>
  <si>
    <t>ST1041</t>
  </si>
  <si>
    <t>Omkar Dnyaneshwar Bhosale</t>
  </si>
  <si>
    <t>ST1042</t>
  </si>
  <si>
    <t>Pooja Ashok Kale</t>
  </si>
  <si>
    <t>ST1043</t>
  </si>
  <si>
    <t>Tejas Shrikant Patil</t>
  </si>
  <si>
    <t>ST1044</t>
  </si>
  <si>
    <t>Aishwarya Ramesh Chavan</t>
  </si>
  <si>
    <t>ST1045</t>
  </si>
  <si>
    <t>Nilesh Anil Ghadge</t>
  </si>
  <si>
    <t>ST1046</t>
  </si>
  <si>
    <t>Prajakta Santosh Kadam</t>
  </si>
  <si>
    <t>ST1047</t>
  </si>
  <si>
    <t>Shubham Rajendra Gaikwad</t>
  </si>
  <si>
    <t>ST1048</t>
  </si>
  <si>
    <t>Komal Suresh Wagh</t>
  </si>
  <si>
    <t>ST1049</t>
  </si>
  <si>
    <t>Abhijit Dilip Thorat</t>
  </si>
  <si>
    <t>ST1050</t>
  </si>
  <si>
    <t>Rutuja Milind Jadhav</t>
  </si>
  <si>
    <t>ST1051</t>
  </si>
  <si>
    <t>Harshal Chandrakant Salve</t>
  </si>
  <si>
    <t>ST1052</t>
  </si>
  <si>
    <t>Sakshi Vinod Shingare</t>
  </si>
  <si>
    <t>ST1053</t>
  </si>
  <si>
    <t>Ganesh Baban Dhumal</t>
  </si>
  <si>
    <t>ST1054</t>
  </si>
  <si>
    <t>Nikita Subhash Bhise</t>
  </si>
  <si>
    <t>ST1055</t>
  </si>
  <si>
    <t>Amol Pandurang Kharat</t>
  </si>
  <si>
    <t>ST1056</t>
  </si>
  <si>
    <t>Shraddha Sharad Gorde</t>
  </si>
  <si>
    <t>ST1057</t>
  </si>
  <si>
    <t>Pratik Shivaji Tupe</t>
  </si>
  <si>
    <t>ST1058</t>
  </si>
  <si>
    <t>Minal Ravindra Doke</t>
  </si>
  <si>
    <t>ST1059</t>
  </si>
  <si>
    <t>Vishal Pravin Kokate</t>
  </si>
  <si>
    <t>ST1060</t>
  </si>
  <si>
    <t>Neha Kishor Dhage</t>
  </si>
  <si>
    <t>ST1061</t>
  </si>
  <si>
    <t>Akshay Dattatraya Borude</t>
  </si>
  <si>
    <t>ST1062</t>
  </si>
  <si>
    <t>Priti Balasaheb Nagare</t>
  </si>
  <si>
    <t>ST1063</t>
  </si>
  <si>
    <t>Chetan Hanuman Gawali</t>
  </si>
  <si>
    <t>ST1064</t>
  </si>
  <si>
    <t>Sonali Vilas Shelke</t>
  </si>
  <si>
    <t>ST1065</t>
  </si>
  <si>
    <t>Swapnil Sopan Raut</t>
  </si>
  <si>
    <t>ST1066</t>
  </si>
  <si>
    <t>Bhagyashree Eknath Pansare</t>
  </si>
  <si>
    <t>ST1067</t>
  </si>
  <si>
    <t>Kunal Bharat Pawale</t>
  </si>
  <si>
    <t>ST1068</t>
  </si>
  <si>
    <t>Monika Nitin Kute</t>
  </si>
  <si>
    <t>ST1069</t>
  </si>
  <si>
    <t>Yogesh Tukaram Dhavale</t>
  </si>
  <si>
    <t>ST1070</t>
  </si>
  <si>
    <t>Reshma Arun Kolhe</t>
  </si>
  <si>
    <t>ST1071</t>
  </si>
  <si>
    <t>Aditya Ashok Londhe</t>
  </si>
  <si>
    <t>ST1072</t>
  </si>
  <si>
    <t>Ruchita Mahendra Jare</t>
  </si>
  <si>
    <t>ST1073</t>
  </si>
  <si>
    <t>Sanket Vijay Ghule</t>
  </si>
  <si>
    <t>ST1074</t>
  </si>
  <si>
    <t>Shweta Sanjay Shelar</t>
  </si>
  <si>
    <t>ST1075</t>
  </si>
  <si>
    <t>Ajinkya Narayan Wankhede</t>
  </si>
  <si>
    <t>ST1076</t>
  </si>
  <si>
    <t>Pooja Dnyaneshwar Karale</t>
  </si>
  <si>
    <t>ST1077</t>
  </si>
  <si>
    <t>Prathamesh Dnyaneshwar Jadhav</t>
  </si>
  <si>
    <t>Hadapsar, Pune</t>
  </si>
  <si>
    <t>ST1078</t>
  </si>
  <si>
    <t>Vaishnavi Ashok Pawar</t>
  </si>
  <si>
    <t>Wagholi, Pune</t>
  </si>
  <si>
    <t>ST1079</t>
  </si>
  <si>
    <t>Omkar Rajendra Kale</t>
  </si>
  <si>
    <t>Chakan, Pune</t>
  </si>
  <si>
    <t>ST1080</t>
  </si>
  <si>
    <t>Snehal Sunil Ghadge</t>
  </si>
  <si>
    <t>Kharadi, Pune</t>
  </si>
  <si>
    <t>ST1081</t>
  </si>
  <si>
    <t>Tejas Vilas Shinde</t>
  </si>
  <si>
    <t>Hinjawadi, Pune</t>
  </si>
  <si>
    <t>ST1082</t>
  </si>
  <si>
    <t>Aditi Prakash More</t>
  </si>
  <si>
    <t>Baner, Pune</t>
  </si>
  <si>
    <t>ST1083</t>
  </si>
  <si>
    <t>Sanket Dattatraya Chavan</t>
  </si>
  <si>
    <t>Wakad, Pune</t>
  </si>
  <si>
    <t>ST1084</t>
  </si>
  <si>
    <t>Rutuja Mahendra Gaikwad</t>
  </si>
  <si>
    <t>Pimpri, Pune</t>
  </si>
  <si>
    <t>ST1085</t>
  </si>
  <si>
    <t>Akshay Ravindra Bhosale</t>
  </si>
  <si>
    <t>Chinchwad, Pune</t>
  </si>
  <si>
    <t>ST1086</t>
  </si>
  <si>
    <t>Komal Sanjay Kharat</t>
  </si>
  <si>
    <t>Talegaon, Pune</t>
  </si>
  <si>
    <t>ST1087</t>
  </si>
  <si>
    <t>Rohit Shrikant Wagh</t>
  </si>
  <si>
    <t>Moshi, Pune</t>
  </si>
  <si>
    <t>ST1088</t>
  </si>
  <si>
    <t>Pooja Vijay Dhumal</t>
  </si>
  <si>
    <t>Bhosari, Pune</t>
  </si>
  <si>
    <t>ST1089</t>
  </si>
  <si>
    <t>Nikhil Ashok Thorat</t>
  </si>
  <si>
    <t>Alandi, Pune</t>
  </si>
  <si>
    <t>ST1090</t>
  </si>
  <si>
    <t>Mansi Santosh Gawali</t>
  </si>
  <si>
    <t>Lohegaon, Pune</t>
  </si>
  <si>
    <t>ST1091</t>
  </si>
  <si>
    <t>Aditya Chandrakant Salunkhe</t>
  </si>
  <si>
    <t>Dhanori, Pune</t>
  </si>
  <si>
    <t>ST1092</t>
  </si>
  <si>
    <t>Sakshi Ganesh Jare</t>
  </si>
  <si>
    <t>Kondhwa, Pune</t>
  </si>
  <si>
    <t>ST1093</t>
  </si>
  <si>
    <t>Harshal Pandurang Tupe</t>
  </si>
  <si>
    <t>Katraj, Pune</t>
  </si>
  <si>
    <t>ST1094</t>
  </si>
  <si>
    <t>Nikita Suresh Shelke</t>
  </si>
  <si>
    <t>Shivajinagar, Pune</t>
  </si>
  <si>
    <t>ST1095</t>
  </si>
  <si>
    <t>Yogesh Pravin Dhage</t>
  </si>
  <si>
    <t>Bavdhan, Pune</t>
  </si>
  <si>
    <t>ST1096</t>
  </si>
  <si>
    <t>Reshma Balasaheb Kute</t>
  </si>
  <si>
    <t>Nigdi, Pune</t>
  </si>
  <si>
    <t>ST1097</t>
  </si>
  <si>
    <t>Shubham Bharat Kokate</t>
  </si>
  <si>
    <t>Ravet, Pune</t>
  </si>
  <si>
    <t>ST1098</t>
  </si>
  <si>
    <t>Sonali Arun Borude</t>
  </si>
  <si>
    <t>Dhayari, Pune</t>
  </si>
  <si>
    <t>ST1099</t>
  </si>
  <si>
    <t>Chetan Kishor Ghule</t>
  </si>
  <si>
    <t>Narhe, Pune</t>
  </si>
  <si>
    <t>ST1100</t>
  </si>
  <si>
    <t>Monika Nitin Karale</t>
  </si>
  <si>
    <t>Fursungi, Pune</t>
  </si>
  <si>
    <t>ST1101</t>
  </si>
  <si>
    <t>Ganesh Eknath Pawale</t>
  </si>
  <si>
    <t>Mundhwa, Pune</t>
  </si>
  <si>
    <t>ST1102</t>
  </si>
  <si>
    <t>Shraddha Tukaram Kolhe</t>
  </si>
  <si>
    <t>ST1103</t>
  </si>
  <si>
    <t>Vishal Sharad Nagare</t>
  </si>
  <si>
    <t>Shrirampur</t>
  </si>
  <si>
    <t>ST1104</t>
  </si>
  <si>
    <t>Prajakta Baban Doke</t>
  </si>
  <si>
    <t>Sangamner</t>
  </si>
  <si>
    <t>ST1105</t>
  </si>
  <si>
    <t>Amol Shivaji Dhavale</t>
  </si>
  <si>
    <t>Rahata</t>
  </si>
  <si>
    <t>ST1106</t>
  </si>
  <si>
    <t>Sanika Haribhau Khedkar</t>
  </si>
  <si>
    <t>Rahuri</t>
  </si>
  <si>
    <t>ST1107</t>
  </si>
  <si>
    <t>Devendra Ramesh Pansare</t>
  </si>
  <si>
    <t>Pathardi</t>
  </si>
  <si>
    <t>ST1108</t>
  </si>
  <si>
    <t>Bhagyashree Vinod Bhise</t>
  </si>
  <si>
    <t>Nevasa</t>
  </si>
  <si>
    <t>ST1109</t>
  </si>
  <si>
    <t>Tushar Milind Londhe</t>
  </si>
  <si>
    <t>Shevgaon</t>
  </si>
  <si>
    <t>ST1110</t>
  </si>
  <si>
    <t>Neha Shashikant Gorde</t>
  </si>
  <si>
    <t>Jamkhed</t>
  </si>
  <si>
    <t>ST1111</t>
  </si>
  <si>
    <t>Kunal Dnyaneshwar Raut</t>
  </si>
  <si>
    <t>IN</t>
  </si>
  <si>
    <t>Last Updated :</t>
  </si>
  <si>
    <t>Total Courses :</t>
  </si>
  <si>
    <t>Today's Total Entry's :</t>
  </si>
  <si>
    <t>Today's OUT Count :</t>
  </si>
  <si>
    <t>Today's IN Count :</t>
  </si>
  <si>
    <t>Total Students :</t>
  </si>
  <si>
    <t>Current Time :</t>
  </si>
  <si>
    <t>Current Date :</t>
  </si>
  <si>
    <t>Month</t>
  </si>
  <si>
    <t>Year</t>
  </si>
  <si>
    <t>Day</t>
  </si>
  <si>
    <t>Area</t>
  </si>
  <si>
    <t>Row Labels</t>
  </si>
  <si>
    <t>Grand Total</t>
  </si>
  <si>
    <t>Count of Student_ID</t>
  </si>
  <si>
    <t xml:space="preserve"> </t>
  </si>
  <si>
    <t>Jun</t>
  </si>
  <si>
    <t>Jul</t>
  </si>
  <si>
    <t>Monday</t>
  </si>
  <si>
    <t>Wednesday</t>
  </si>
  <si>
    <t>Friday</t>
  </si>
  <si>
    <t>Saturday</t>
  </si>
  <si>
    <t>Ahilya Nagar, Maharashtra, Maharashtra</t>
  </si>
  <si>
    <t>Karjat, Ahilya Nagar, Maharashtra</t>
  </si>
  <si>
    <t>Today's IN</t>
  </si>
  <si>
    <t>Today's OUT</t>
  </si>
  <si>
    <t>Count</t>
  </si>
  <si>
    <t>Sum of Count</t>
  </si>
  <si>
    <t>AUTO CAD TECH</t>
  </si>
  <si>
    <t>AUTO ASSEMBLY TECH</t>
  </si>
  <si>
    <t>EV PRODUCT DESIGN</t>
  </si>
  <si>
    <t>ASSEMBLY OP (RAC)</t>
  </si>
  <si>
    <t>CLOUD APP DEV</t>
  </si>
  <si>
    <t>ENDPOINT SEC ANALYST</t>
  </si>
  <si>
    <t>COMPLIANCE AUDIT ANALYST</t>
  </si>
  <si>
    <t>IOT NETWORK SPEC</t>
  </si>
  <si>
    <t>IOT DOMAIN SPEC</t>
  </si>
  <si>
    <t>AI/ML ENGINEER</t>
  </si>
  <si>
    <t>AI BI ANALYST</t>
  </si>
  <si>
    <t>Reference</t>
  </si>
  <si>
    <t>AIBI</t>
  </si>
  <si>
    <t>AIML</t>
  </si>
  <si>
    <t>IOT-DS</t>
  </si>
  <si>
    <t>IOT-NS</t>
  </si>
  <si>
    <t>EV</t>
  </si>
  <si>
    <t>AUTO CAD</t>
  </si>
  <si>
    <t>ASSY OP (RAC)</t>
  </si>
  <si>
    <t>CLOUD</t>
  </si>
  <si>
    <t>AEPSC</t>
  </si>
  <si>
    <t>AUTO ASSY</t>
  </si>
  <si>
    <t>ST1112</t>
  </si>
  <si>
    <t>Aniket Prakash Rathod</t>
  </si>
  <si>
    <t>ST1113</t>
  </si>
  <si>
    <t>Sanket Pandhari More</t>
  </si>
  <si>
    <t>ACAC</t>
  </si>
  <si>
    <t>Inside</t>
  </si>
  <si>
    <t>Outside</t>
  </si>
  <si>
    <t>Sunday</t>
  </si>
  <si>
    <t>01-Jul</t>
  </si>
  <si>
    <t>03-Jul</t>
  </si>
  <si>
    <t>04-Jul</t>
  </si>
  <si>
    <t>05-Jul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</si>
</sst>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009]dd/mm/yyyy;@"/>
    <numFmt numFmtId="165" formatCode="[$-10409]hh\.mm\ AM/PM;@"/>
  </numFmts>
  <fonts count="14" x14ac:knownFonts="1">
    <font>
      <sz val="11"/>
      <color theme="1"/>
      <name val="Candara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Tahoma"/>
      <family val="2"/>
    </font>
    <font>
      <b/>
      <sz val="11"/>
      <color theme="1"/>
      <name val="Times New Roman"/>
      <family val="1"/>
    </font>
    <font>
      <b/>
      <sz val="12"/>
      <color theme="1"/>
      <name val="Tahoma"/>
      <family val="2"/>
    </font>
    <font>
      <sz val="12"/>
      <color theme="1"/>
      <name val="Tahoma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1"/>
      <name val="Felix Titling"/>
      <family val="5"/>
    </font>
    <font>
      <sz val="10"/>
      <color indexed="18"/>
      <name val="Times New Roman"/>
      <family val="1"/>
    </font>
    <font>
      <b/>
      <sz val="10"/>
      <color indexed="18"/>
      <name val="Times New Roman"/>
      <family val="1"/>
    </font>
    <font>
      <sz val="10"/>
      <color indexed="32"/>
      <name val="Times New Roman"/>
      <family val="1"/>
    </font>
    <font>
      <b/>
      <sz val="11"/>
      <color theme="1"/>
      <name val="Candar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CEF0FE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164" fontId="4" fillId="4" borderId="5" xfId="0" applyNumberFormat="1" applyFont="1" applyFill="1" applyBorder="1" applyAlignment="1">
      <alignment horizontal="center" vertical="center" wrapText="1"/>
    </xf>
    <xf numFmtId="165" fontId="4" fillId="4" borderId="5" xfId="0" applyNumberFormat="1" applyFont="1" applyFill="1" applyBorder="1" applyAlignment="1">
      <alignment horizontal="center" vertical="center" wrapText="1"/>
    </xf>
    <xf numFmtId="165" fontId="4" fillId="4" borderId="6" xfId="0" applyNumberFormat="1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165" fontId="2" fillId="0" borderId="3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wrapText="1"/>
    </xf>
    <xf numFmtId="0" fontId="0" fillId="0" borderId="0" xfId="0" applyNumberFormat="1"/>
    <xf numFmtId="0" fontId="0" fillId="5" borderId="0" xfId="0" applyFill="1"/>
    <xf numFmtId="0" fontId="1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27"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409]hh\.mm\ AM/PM;@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409]hh\.mm\ AM/P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409]hh\.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409]hh\.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409]hh\.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409]hh\.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[$-14009]dd/mm/yy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elix Titling"/>
        <family val="5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5" formatCode="[$-10409]hh\.mm\ AM/PM;@"/>
      <fill>
        <patternFill patternType="solid">
          <fgColor indexed="64"/>
          <bgColor theme="6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ahoma"/>
        <family val="2"/>
        <scheme val="none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399FF"/>
      <color rgb="FF0033CC"/>
      <color rgb="FF003399"/>
      <color rgb="FFC7FEC6"/>
      <color rgb="FFABFDA9"/>
      <color rgb="FF062542"/>
      <color rgb="FF67DF8C"/>
      <color rgb="FFCEF0FE"/>
      <color rgb="FFFFE525"/>
      <color rgb="FF0F42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[Student_IO_System_v3.xlsm]Pivot!PT_Course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4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5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6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7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8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9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10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11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  <c:pivotFmt>
        <c:idx val="12"/>
        <c:spPr>
          <a:gradFill>
            <a:gsLst>
              <a:gs pos="0">
                <a:srgbClr val="003399"/>
              </a:gs>
              <a:gs pos="46000">
                <a:srgbClr val="0033CC"/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5875"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9.9530508119602665E-2"/>
          <c:y val="0.11792193180374676"/>
          <c:w val="0.88567629265188019"/>
          <c:h val="0.613593883266693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Pivot!$C$9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003399"/>
                </a:gs>
                <a:gs pos="46000">
                  <a:srgbClr val="0033CC"/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</a:gradFill>
            <a:ln w="15875"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3D1-4559-951C-8A6CADC301C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3D1-4559-951C-8A6CADC301CD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3D1-4559-951C-8A6CADC301C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3D1-4559-951C-8A6CADC301C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3D1-4559-951C-8A6CADC301CD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3694-4862-B2C1-331659458A06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3D1-4559-951C-8A6CADC301C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3694-4862-B2C1-331659458A06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3694-4862-B2C1-331659458A06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3694-4862-B2C1-331659458A06}"/>
              </c:ext>
            </c:extLst>
          </c:dPt>
          <c:cat>
            <c:strRef>
              <c:f>Pivot!$B$10:$B$21</c:f>
              <c:strCache>
                <c:ptCount val="11"/>
                <c:pt idx="0">
                  <c:v>CLOUD</c:v>
                </c:pt>
                <c:pt idx="1">
                  <c:v>AIML</c:v>
                </c:pt>
                <c:pt idx="2">
                  <c:v>ASSY OP (RAC)</c:v>
                </c:pt>
                <c:pt idx="3">
                  <c:v>AIBI</c:v>
                </c:pt>
                <c:pt idx="4">
                  <c:v>AEPSC</c:v>
                </c:pt>
                <c:pt idx="5">
                  <c:v>IOT-NS</c:v>
                </c:pt>
                <c:pt idx="6">
                  <c:v>AUTO CAD</c:v>
                </c:pt>
                <c:pt idx="7">
                  <c:v>EV</c:v>
                </c:pt>
                <c:pt idx="8">
                  <c:v>AUTO ASSY</c:v>
                </c:pt>
                <c:pt idx="9">
                  <c:v>IOT-DS</c:v>
                </c:pt>
                <c:pt idx="10">
                  <c:v>ACAC</c:v>
                </c:pt>
              </c:strCache>
            </c:strRef>
          </c:cat>
          <c:val>
            <c:numRef>
              <c:f>Pivot!$C$10:$C$21</c:f>
              <c:numCache>
                <c:formatCode>General</c:formatCode>
                <c:ptCount val="11"/>
                <c:pt idx="0">
                  <c:v>23</c:v>
                </c:pt>
                <c:pt idx="1">
                  <c:v>14</c:v>
                </c:pt>
                <c:pt idx="2">
                  <c:v>14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D1-4559-951C-8A6CADC30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8905072"/>
        <c:axId val="1220802032"/>
      </c:barChart>
      <c:catAx>
        <c:axId val="185890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00" cap="none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1220802032"/>
        <c:crosses val="autoZero"/>
        <c:auto val="1"/>
        <c:lblAlgn val="ctr"/>
        <c:lblOffset val="100"/>
        <c:tickLblSkip val="1"/>
        <c:noMultiLvlLbl val="0"/>
      </c:catAx>
      <c:valAx>
        <c:axId val="122080203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589050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600" b="0" i="0" u="none" strike="noStrike" kern="1200" cap="none" normalizeH="0" baseline="0">
                <a:solidFill>
                  <a:schemeClr val="bg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rnd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  <a:softEdge rad="0"/>
    </a:effectLst>
  </c:spPr>
  <c:txPr>
    <a:bodyPr rot="-5400000" vert="horz" anchor="t" anchorCtr="0"/>
    <a:lstStyle/>
    <a:p>
      <a:pPr>
        <a:defRPr sz="900" b="0" i="0" kern="100" cap="none" normalizeH="0" baseline="0"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[Student_IO_System_v3.xlsm]Pivot!PT_Status</c:name>
    <c:fmtId val="4"/>
  </c:pivotSource>
  <c:chart>
    <c:title>
      <c:layout>
        <c:manualLayout>
          <c:xMode val="edge"/>
          <c:yMode val="edge"/>
          <c:x val="0.42238339393622304"/>
          <c:y val="2.6773761713520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00" cap="none" spc="0" normalizeH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cap="none" normalizeH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gradFill>
            <a:gsLst>
              <a:gs pos="0">
                <a:schemeClr val="accent2">
                  <a:lumMod val="50000"/>
                </a:schemeClr>
              </a:gs>
              <a:gs pos="46000">
                <a:schemeClr val="accent2">
                  <a:lumMod val="75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>
                <a:defRPr lang="en-US" sz="900" b="0" i="0" u="none" strike="noStrike" kern="100" cap="none" normalizeH="0" baseline="0">
                  <a:solidFill>
                    <a:schemeClr val="bg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>
            <a:gsLst>
              <a:gs pos="0">
                <a:schemeClr val="accent1">
                  <a:lumMod val="40000"/>
                  <a:lumOff val="60000"/>
                </a:schemeClr>
              </a:gs>
              <a:gs pos="54000">
                <a:srgbClr val="3399FF"/>
              </a:gs>
              <a:gs pos="100000">
                <a:srgbClr val="0033CC"/>
              </a:gs>
            </a:gsLst>
            <a:lin ang="16200000" scaled="1"/>
          </a:gra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gradFill>
            <a:gsLst>
              <a:gs pos="0">
                <a:srgbClr val="002060"/>
              </a:gs>
              <a:gs pos="46000">
                <a:srgbClr val="0033CC"/>
              </a:gs>
              <a:gs pos="100000">
                <a:srgbClr val="0033CC"/>
              </a:gs>
            </a:gsLst>
            <a:lin ang="16200000" scaled="1"/>
          </a:gra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538514207463199"/>
          <c:y val="0.13755402285240662"/>
          <c:w val="0.65445540237702848"/>
          <c:h val="0.79112881974090588"/>
        </c:manualLayout>
      </c:layout>
      <c:doughnutChart>
        <c:varyColors val="1"/>
        <c:ser>
          <c:idx val="0"/>
          <c:order val="0"/>
          <c:tx>
            <c:strRef>
              <c:f>Pivot!$F$18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50000"/>
                  </a:schemeClr>
                </a:gs>
                <a:gs pos="46000">
                  <a:schemeClr val="accent2">
                    <a:lumMod val="75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</a:gradFill>
          </c:spPr>
          <c:dPt>
            <c:idx val="0"/>
            <c:bubble3D val="0"/>
            <c:spPr>
              <a:gradFill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54000">
                    <a:srgbClr val="3399FF"/>
                  </a:gs>
                  <a:gs pos="100000">
                    <a:srgbClr val="0033CC"/>
                  </a:gs>
                </a:gsLst>
                <a:lin ang="162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3C-4C31-8238-32EDF9203EBF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002060"/>
                  </a:gs>
                  <a:gs pos="46000">
                    <a:srgbClr val="0033CC"/>
                  </a:gs>
                  <a:gs pos="100000">
                    <a:srgbClr val="0033CC"/>
                  </a:gs>
                </a:gsLst>
                <a:lin ang="16200000" scaled="1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3C-4C31-8238-32EDF9203E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>
                  <a:defRPr lang="en-US" sz="900" b="0" i="0" u="none" strike="noStrike" kern="100" cap="none" normalizeH="0" baseline="0">
                    <a:solidFill>
                      <a:schemeClr val="bg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Pivot!$E$19:$E$21</c:f>
              <c:strCache>
                <c:ptCount val="2"/>
                <c:pt idx="0">
                  <c:v>Outside</c:v>
                </c:pt>
                <c:pt idx="1">
                  <c:v>Inside</c:v>
                </c:pt>
              </c:strCache>
            </c:strRef>
          </c:cat>
          <c:val>
            <c:numRef>
              <c:f>Pivot!$F$19:$F$21</c:f>
              <c:numCache>
                <c:formatCode>General</c:formatCode>
                <c:ptCount val="2"/>
                <c:pt idx="0">
                  <c:v>56</c:v>
                </c:pt>
                <c:pt idx="1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3C-4C31-8238-32EDF9203EB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434492200102895"/>
          <c:y val="0.88041931505549753"/>
          <c:w val="0.4513097200059295"/>
          <c:h val="0.119580684944502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00" cap="none" normalizeH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rnd" cmpd="sng" algn="ctr">
      <a:solidFill>
        <a:srgbClr val="062542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lang="en-US" sz="900" b="0" i="0" u="none" strike="noStrike" kern="100" cap="none" normalizeH="0" baseline="0">
          <a:solidFill>
            <a:schemeClr val="tx1"/>
          </a:solidFill>
          <a:latin typeface="Times New Roman" panose="02020603050405020304" pitchFamily="18" charset="0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[Student_IO_System_v3.xlsm]Pivot!PT_Month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000">
                <a:schemeClr val="bg1"/>
              </a:gs>
              <a:gs pos="67000">
                <a:schemeClr val="accent2">
                  <a:lumMod val="60000"/>
                  <a:lumOff val="40000"/>
                </a:schemeClr>
              </a:gs>
            </a:gsLst>
            <a:lin ang="5400000" scaled="0"/>
          </a:gradFill>
          <a:ln w="25400">
            <a:solidFill>
              <a:schemeClr val="accent2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5400" cap="rnd">
            <a:solidFill>
              <a:schemeClr val="accent2">
                <a:lumMod val="75000"/>
              </a:schemeClr>
            </a:solidFill>
            <a:round/>
          </a:ln>
          <a:effectLst/>
        </c:spPr>
        <c:marker>
          <c:spPr>
            <a:solidFill>
              <a:srgbClr val="0033CC"/>
            </a:solidFill>
            <a:ln w="19050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1"/>
        <c:ser>
          <c:idx val="0"/>
          <c:order val="0"/>
          <c:tx>
            <c:strRef>
              <c:f>Pivot!$B$29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7000">
                  <a:schemeClr val="bg1"/>
                </a:gs>
                <a:gs pos="67000">
                  <a:schemeClr val="accent2">
                    <a:lumMod val="60000"/>
                    <a:lumOff val="40000"/>
                  </a:schemeClr>
                </a:gs>
              </a:gsLst>
              <a:lin ang="5400000" scaled="0"/>
            </a:gradFill>
            <a:ln w="25400">
              <a:solidFill>
                <a:schemeClr val="accent2">
                  <a:lumMod val="75000"/>
                </a:schemeClr>
              </a:solidFill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Pivot!$A$30:$A$32</c:f>
              <c:strCache>
                <c:ptCount val="2"/>
                <c:pt idx="0">
                  <c:v>Jun</c:v>
                </c:pt>
                <c:pt idx="1">
                  <c:v>Jul</c:v>
                </c:pt>
              </c:strCache>
            </c:strRef>
          </c:cat>
          <c:val>
            <c:numRef>
              <c:f>Pivot!$B$30:$B$32</c:f>
              <c:numCache>
                <c:formatCode>General</c:formatCode>
                <c:ptCount val="2"/>
                <c:pt idx="0">
                  <c:v>88</c:v>
                </c:pt>
                <c:pt idx="1">
                  <c:v>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2E-4009-9571-61DB970979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879143024"/>
        <c:axId val="1847801040"/>
      </c:areaChart>
      <c:catAx>
        <c:axId val="187914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801040"/>
        <c:crosses val="autoZero"/>
        <c:auto val="1"/>
        <c:lblAlgn val="ctr"/>
        <c:lblOffset val="100"/>
        <c:noMultiLvlLbl val="0"/>
      </c:catAx>
      <c:valAx>
        <c:axId val="18478010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914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accent1">
          <a:shade val="1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[Student_IO_System_v3.xlsm]Pivot!PT_Day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rgbClr val="0033CC"/>
            </a:solidFill>
            <a:ln w="9525">
              <a:solidFill>
                <a:schemeClr val="bg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Pivot!$F$29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33CC"/>
              </a:solidFill>
              <a:ln w="9525">
                <a:solidFill>
                  <a:schemeClr val="bg1"/>
                </a:solidFill>
              </a:ln>
              <a:effectLst/>
            </c:spPr>
          </c:marker>
          <c:cat>
            <c:strRef>
              <c:f>Pivot!$E$30:$E$35</c:f>
              <c:strCache>
                <c:ptCount val="5"/>
                <c:pt idx="0">
                  <c:v>Monday</c:v>
                </c:pt>
                <c:pt idx="1">
                  <c:v>Wednesday</c:v>
                </c:pt>
                <c:pt idx="2">
                  <c:v>Friday</c:v>
                </c:pt>
                <c:pt idx="3">
                  <c:v>Saturday</c:v>
                </c:pt>
                <c:pt idx="4">
                  <c:v>Sunday</c:v>
                </c:pt>
              </c:strCache>
            </c:strRef>
          </c:cat>
          <c:val>
            <c:numRef>
              <c:f>Pivot!$F$30:$F$35</c:f>
              <c:numCache>
                <c:formatCode>General</c:formatCode>
                <c:ptCount val="5"/>
                <c:pt idx="0">
                  <c:v>88</c:v>
                </c:pt>
                <c:pt idx="1">
                  <c:v>112</c:v>
                </c:pt>
                <c:pt idx="2">
                  <c:v>90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9E-4905-8BCD-73B659FB9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959615"/>
        <c:axId val="1887738448"/>
      </c:lineChart>
      <c:catAx>
        <c:axId val="1283959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738448"/>
        <c:crosses val="autoZero"/>
        <c:auto val="1"/>
        <c:lblAlgn val="ctr"/>
        <c:lblOffset val="100"/>
        <c:noMultiLvlLbl val="0"/>
      </c:catAx>
      <c:valAx>
        <c:axId val="18877384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39596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[Student_IO_System_v3.xlsm]Pivot!PT_INOUT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50800" dir="5400000" algn="ctr" rotWithShape="0">
              <a:schemeClr val="bg2">
                <a:lumMod val="9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>
            <a:gsLst>
              <a:gs pos="13000">
                <a:srgbClr val="3399FF"/>
              </a:gs>
              <a:gs pos="67000">
                <a:srgbClr val="0033CC"/>
              </a:gs>
            </a:gsLst>
            <a:lin ang="5400000" scaled="0"/>
          </a:gradFill>
          <a:ln>
            <a:noFill/>
          </a:ln>
          <a:effectLst>
            <a:outerShdw blurRad="50800" dist="50800" dir="5400000" algn="ctr" rotWithShape="0">
              <a:schemeClr val="bg2">
                <a:lumMod val="90000"/>
              </a:schemeClr>
            </a:outerShdw>
          </a:effectLst>
        </c:spPr>
      </c:pivotFmt>
      <c:pivotFmt>
        <c:idx val="4"/>
        <c:spPr>
          <a:gradFill>
            <a:gsLst>
              <a:gs pos="15000">
                <a:schemeClr val="accent1">
                  <a:lumMod val="60000"/>
                  <a:lumOff val="40000"/>
                </a:schemeClr>
              </a:gs>
              <a:gs pos="59000">
                <a:schemeClr val="accent1">
                  <a:lumMod val="75000"/>
                </a:schemeClr>
              </a:gs>
            </a:gsLst>
            <a:lin ang="5400000" scaled="0"/>
          </a:gradFill>
          <a:ln>
            <a:noFill/>
          </a:ln>
          <a:effectLst>
            <a:outerShdw blurRad="50800" dist="50800" dir="5400000" algn="ctr" rotWithShape="0">
              <a:schemeClr val="bg2">
                <a:lumMod val="90000"/>
              </a:schemeClr>
            </a:outerShdw>
          </a:effectLst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50800" dir="5400000" algn="ctr" rotWithShape="0">
                <a:schemeClr val="bg2">
                  <a:lumMod val="90000"/>
                </a:scheme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13000">
                    <a:srgbClr val="3399FF"/>
                  </a:gs>
                  <a:gs pos="67000">
                    <a:srgbClr val="0033CC"/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50800" dir="5400000" algn="ctr" rotWithShape="0">
                  <a:schemeClr val="bg2">
                    <a:lumMod val="9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391-4B9F-940B-062AB9238E30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15000">
                    <a:schemeClr val="accent1">
                      <a:lumMod val="60000"/>
                      <a:lumOff val="40000"/>
                    </a:schemeClr>
                  </a:gs>
                  <a:gs pos="59000">
                    <a:schemeClr val="accent1">
                      <a:lumMod val="75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0800" dist="50800" dir="5400000" algn="ctr" rotWithShape="0">
                  <a:schemeClr val="bg2">
                    <a:lumMod val="90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391-4B9F-940B-062AB9238E30}"/>
              </c:ext>
            </c:extLst>
          </c:dPt>
          <c:cat>
            <c:strRef>
              <c:f>Pivot!$E$10:$E$12</c:f>
              <c:strCache>
                <c:ptCount val="2"/>
                <c:pt idx="0">
                  <c:v>IN</c:v>
                </c:pt>
                <c:pt idx="1">
                  <c:v>OUT</c:v>
                </c:pt>
              </c:strCache>
            </c:strRef>
          </c:cat>
          <c:val>
            <c:numRef>
              <c:f>Pivot!$F$10:$F$12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1-4B9F-940B-062AB9238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49315055"/>
        <c:axId val="310460463"/>
      </c:barChart>
      <c:catAx>
        <c:axId val="184931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60463"/>
        <c:crosses val="autoZero"/>
        <c:auto val="1"/>
        <c:lblAlgn val="ctr"/>
        <c:lblOffset val="100"/>
        <c:noMultiLvlLbl val="0"/>
      </c:catAx>
      <c:valAx>
        <c:axId val="31046046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315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[Student_IO_System_v3.xlsm]Pivot!PT_Area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Pivot!$J$29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Pivot!$I$30:$I$97</c:f>
              <c:strCache>
                <c:ptCount val="67"/>
                <c:pt idx="0">
                  <c:v>Ahilya Nagar, Maharashtra</c:v>
                </c:pt>
                <c:pt idx="1">
                  <c:v>Akola, Maharashtra</c:v>
                </c:pt>
                <c:pt idx="2">
                  <c:v>Alandi, Pune</c:v>
                </c:pt>
                <c:pt idx="3">
                  <c:v>Amravati, Maharashtra</c:v>
                </c:pt>
                <c:pt idx="4">
                  <c:v>Baner, Pune</c:v>
                </c:pt>
                <c:pt idx="5">
                  <c:v>Bavdhan, Pune</c:v>
                </c:pt>
                <c:pt idx="6">
                  <c:v>Beed, Maharashtra</c:v>
                </c:pt>
                <c:pt idx="7">
                  <c:v>Bhosari, Pune</c:v>
                </c:pt>
                <c:pt idx="8">
                  <c:v>Buldhana, Maharashtra</c:v>
                </c:pt>
                <c:pt idx="9">
                  <c:v>Chakan, Pune</c:v>
                </c:pt>
                <c:pt idx="10">
                  <c:v>Chandrapur, Maharashtra</c:v>
                </c:pt>
                <c:pt idx="11">
                  <c:v>Chhatrapati Sambhajinagar, Maharashtra</c:v>
                </c:pt>
                <c:pt idx="12">
                  <c:v>Chinchwad, Pune</c:v>
                </c:pt>
                <c:pt idx="13">
                  <c:v>Dhanori, Pune</c:v>
                </c:pt>
                <c:pt idx="14">
                  <c:v>Dharashiv, Maharashtra</c:v>
                </c:pt>
                <c:pt idx="15">
                  <c:v>Dhayari, Pune</c:v>
                </c:pt>
                <c:pt idx="16">
                  <c:v>Dhule, Maharashtra</c:v>
                </c:pt>
                <c:pt idx="17">
                  <c:v>Fursungi, Pune</c:v>
                </c:pt>
                <c:pt idx="18">
                  <c:v>Gadchiroli, Maharashtra</c:v>
                </c:pt>
                <c:pt idx="19">
                  <c:v>Gondia, Maharashtra</c:v>
                </c:pt>
                <c:pt idx="20">
                  <c:v>Hadapsar, Pune</c:v>
                </c:pt>
                <c:pt idx="21">
                  <c:v>Hingoli, Maharashtra</c:v>
                </c:pt>
                <c:pt idx="22">
                  <c:v>Hinjawadi, Pune</c:v>
                </c:pt>
                <c:pt idx="23">
                  <c:v>Jalgaon, Maharashtra</c:v>
                </c:pt>
                <c:pt idx="24">
                  <c:v>Jalna, Maharashtra</c:v>
                </c:pt>
                <c:pt idx="25">
                  <c:v>Jamkhed</c:v>
                </c:pt>
                <c:pt idx="26">
                  <c:v>Katraj, Pune</c:v>
                </c:pt>
                <c:pt idx="27">
                  <c:v>Kharadi, Pune</c:v>
                </c:pt>
                <c:pt idx="28">
                  <c:v>Kolhapur, Maharashtra</c:v>
                </c:pt>
                <c:pt idx="29">
                  <c:v>Kondhwa, Pune</c:v>
                </c:pt>
                <c:pt idx="30">
                  <c:v>Latur, Maharashtra</c:v>
                </c:pt>
                <c:pt idx="31">
                  <c:v>Lohegaon, Pune</c:v>
                </c:pt>
                <c:pt idx="32">
                  <c:v>Moshi, Pune</c:v>
                </c:pt>
                <c:pt idx="33">
                  <c:v>Mumbai, Maharashtra</c:v>
                </c:pt>
                <c:pt idx="34">
                  <c:v>Mundhwa, Pune</c:v>
                </c:pt>
                <c:pt idx="35">
                  <c:v>Nagpur, Maharashtra</c:v>
                </c:pt>
                <c:pt idx="36">
                  <c:v>Nanded, Maharashtra</c:v>
                </c:pt>
                <c:pt idx="37">
                  <c:v>Narhe, Pune</c:v>
                </c:pt>
                <c:pt idx="38">
                  <c:v>Nashik, Maharashtra</c:v>
                </c:pt>
                <c:pt idx="39">
                  <c:v>Navi Mumbai, Maharashtra</c:v>
                </c:pt>
                <c:pt idx="40">
                  <c:v>Nevasa</c:v>
                </c:pt>
                <c:pt idx="41">
                  <c:v>Nigdi, Pune</c:v>
                </c:pt>
                <c:pt idx="42">
                  <c:v>Parbhani, Maharashtra</c:v>
                </c:pt>
                <c:pt idx="43">
                  <c:v>Pathardi</c:v>
                </c:pt>
                <c:pt idx="44">
                  <c:v>Pimpri, Pune</c:v>
                </c:pt>
                <c:pt idx="45">
                  <c:v>Pune, Maharashtra</c:v>
                </c:pt>
                <c:pt idx="46">
                  <c:v>Rahata</c:v>
                </c:pt>
                <c:pt idx="47">
                  <c:v>Rahuri</c:v>
                </c:pt>
                <c:pt idx="48">
                  <c:v>Ratnagiri, Maharashtra</c:v>
                </c:pt>
                <c:pt idx="49">
                  <c:v>Ravet, Pune</c:v>
                </c:pt>
                <c:pt idx="50">
                  <c:v>Sangamner</c:v>
                </c:pt>
                <c:pt idx="51">
                  <c:v>Sangli, Maharashtra</c:v>
                </c:pt>
                <c:pt idx="52">
                  <c:v>Satara, Maharashtra</c:v>
                </c:pt>
                <c:pt idx="53">
                  <c:v>Shevgaon</c:v>
                </c:pt>
                <c:pt idx="54">
                  <c:v>Shivajinagar, Pune</c:v>
                </c:pt>
                <c:pt idx="55">
                  <c:v>Shrirampur</c:v>
                </c:pt>
                <c:pt idx="56">
                  <c:v>Sindhudurg, Maharashtra</c:v>
                </c:pt>
                <c:pt idx="57">
                  <c:v>Solapur, Maharashtra</c:v>
                </c:pt>
                <c:pt idx="58">
                  <c:v>Talegaon, Pune</c:v>
                </c:pt>
                <c:pt idx="59">
                  <c:v>Thane, Maharashtra</c:v>
                </c:pt>
                <c:pt idx="60">
                  <c:v>Wagholi, Pune</c:v>
                </c:pt>
                <c:pt idx="61">
                  <c:v>Wakad, Pune</c:v>
                </c:pt>
                <c:pt idx="62">
                  <c:v>Wardha, Maharashtra</c:v>
                </c:pt>
                <c:pt idx="63">
                  <c:v>Washim, Maharashtra</c:v>
                </c:pt>
                <c:pt idx="64">
                  <c:v>Yavatmal, Maharashtra </c:v>
                </c:pt>
                <c:pt idx="65">
                  <c:v>Ahilya Nagar, Maharashtra, Maharashtra</c:v>
                </c:pt>
                <c:pt idx="66">
                  <c:v>Karjat, Ahilya Nagar, Maharashtra</c:v>
                </c:pt>
              </c:strCache>
            </c:strRef>
          </c:cat>
          <c:val>
            <c:numRef>
              <c:f>Pivot!$J$30:$J$97</c:f>
              <c:numCache>
                <c:formatCode>General</c:formatCode>
                <c:ptCount val="67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27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9</c:v>
                </c:pt>
                <c:pt idx="6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C-4D06-B6DC-B568EA6B9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75358495"/>
        <c:axId val="1847741040"/>
      </c:barChart>
      <c:catAx>
        <c:axId val="127535849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741040"/>
        <c:crosses val="autoZero"/>
        <c:auto val="1"/>
        <c:lblAlgn val="ctr"/>
        <c:lblOffset val="100"/>
        <c:noMultiLvlLbl val="0"/>
      </c:catAx>
      <c:valAx>
        <c:axId val="184774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358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[Student_IO_System_v3.xlsm]Pivot!PT_Today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Pivot!$I$9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CA-4502-9A0F-DAF97C6A8EA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cat>
            <c:multiLvlStrRef>
              <c:f>Pivot!$H$10:$H$15</c:f>
              <c:multiLvlStrCache>
                <c:ptCount val="4"/>
                <c:lvl>
                  <c:pt idx="0">
                    <c:v>01-Jul</c:v>
                  </c:pt>
                  <c:pt idx="1">
                    <c:v>03-Jul</c:v>
                  </c:pt>
                  <c:pt idx="2">
                    <c:v>04-Jul</c:v>
                  </c:pt>
                  <c:pt idx="3">
                    <c:v>05-Jul</c:v>
                  </c:pt>
                </c:lvl>
                <c:lvl>
                  <c:pt idx="0">
                    <c:v>Jul</c:v>
                  </c:pt>
                </c:lvl>
              </c:multiLvlStrCache>
            </c:multiLvlStrRef>
          </c:cat>
          <c:val>
            <c:numRef>
              <c:f>Pivot!$I$10:$I$15</c:f>
              <c:numCache>
                <c:formatCode>General</c:formatCode>
                <c:ptCount val="4"/>
                <c:pt idx="0">
                  <c:v>112</c:v>
                </c:pt>
                <c:pt idx="1">
                  <c:v>90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A-4502-9A0F-DAF97C6A8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5509759"/>
        <c:axId val="1887747088"/>
      </c:barChart>
      <c:catAx>
        <c:axId val="1275509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747088"/>
        <c:crosses val="autoZero"/>
        <c:auto val="1"/>
        <c:lblAlgn val="ctr"/>
        <c:lblOffset val="100"/>
        <c:noMultiLvlLbl val="0"/>
      </c:catAx>
      <c:valAx>
        <c:axId val="18877470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509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lang="en-US" sz="1000" b="0" i="0" u="none" strike="noStrike" kern="1200" baseline="0">
          <a:ln>
            <a:noFill/>
          </a:ln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sv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6" Type="http://schemas.openxmlformats.org/officeDocument/2006/relationships/image" Target="../media/image17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5" Type="http://schemas.openxmlformats.org/officeDocument/2006/relationships/image" Target="../media/image1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svg"/><Relationship Id="rId18" Type="http://schemas.openxmlformats.org/officeDocument/2006/relationships/chart" Target="../charts/chart1.xml"/><Relationship Id="rId3" Type="http://schemas.openxmlformats.org/officeDocument/2006/relationships/image" Target="../media/image19.svg"/><Relationship Id="rId21" Type="http://schemas.openxmlformats.org/officeDocument/2006/relationships/chart" Target="../charts/chart4.xml"/><Relationship Id="rId7" Type="http://schemas.openxmlformats.org/officeDocument/2006/relationships/image" Target="../media/image23.svg"/><Relationship Id="rId12" Type="http://schemas.openxmlformats.org/officeDocument/2006/relationships/image" Target="../media/image28.png"/><Relationship Id="rId17" Type="http://schemas.openxmlformats.org/officeDocument/2006/relationships/image" Target="../media/image33.sv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chart" Target="../charts/chart3.xml"/><Relationship Id="rId1" Type="http://schemas.openxmlformats.org/officeDocument/2006/relationships/hyperlink" Target="https://iconscout.com/icon/in-icon_2070517" TargetMode="External"/><Relationship Id="rId6" Type="http://schemas.openxmlformats.org/officeDocument/2006/relationships/image" Target="../media/image22.png"/><Relationship Id="rId11" Type="http://schemas.openxmlformats.org/officeDocument/2006/relationships/image" Target="../media/image27.svg"/><Relationship Id="rId24" Type="http://schemas.openxmlformats.org/officeDocument/2006/relationships/chart" Target="../charts/chart7.xml"/><Relationship Id="rId5" Type="http://schemas.openxmlformats.org/officeDocument/2006/relationships/image" Target="../media/image21.svg"/><Relationship Id="rId15" Type="http://schemas.openxmlformats.org/officeDocument/2006/relationships/image" Target="../media/image31.svg"/><Relationship Id="rId23" Type="http://schemas.openxmlformats.org/officeDocument/2006/relationships/chart" Target="../charts/chart6.xml"/><Relationship Id="rId10" Type="http://schemas.openxmlformats.org/officeDocument/2006/relationships/image" Target="../media/image26.png"/><Relationship Id="rId19" Type="http://schemas.openxmlformats.org/officeDocument/2006/relationships/chart" Target="../charts/chart2.xml"/><Relationship Id="rId4" Type="http://schemas.openxmlformats.org/officeDocument/2006/relationships/image" Target="../media/image20.png"/><Relationship Id="rId9" Type="http://schemas.openxmlformats.org/officeDocument/2006/relationships/image" Target="../media/image25.svg"/><Relationship Id="rId14" Type="http://schemas.openxmlformats.org/officeDocument/2006/relationships/image" Target="../media/image30.png"/><Relationship Id="rId2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3826</xdr:colOff>
      <xdr:row>0</xdr:row>
      <xdr:rowOff>2513</xdr:rowOff>
    </xdr:from>
    <xdr:to>
      <xdr:col>40</xdr:col>
      <xdr:colOff>3826</xdr:colOff>
      <xdr:row>62</xdr:row>
      <xdr:rowOff>2513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6D2B6AA2-A063-822F-A99E-9DA2BE3E88E4}"/>
            </a:ext>
          </a:extLst>
        </xdr:cNvPr>
        <xdr:cNvSpPr/>
      </xdr:nvSpPr>
      <xdr:spPr>
        <a:xfrm>
          <a:off x="3826" y="2513"/>
          <a:ext cx="24355063" cy="11362481"/>
        </a:xfrm>
        <a:prstGeom prst="rect">
          <a:avLst/>
        </a:prstGeom>
        <a:gradFill flip="none" rotWithShape="1">
          <a:gsLst>
            <a:gs pos="0">
              <a:schemeClr val="accent1">
                <a:lumMod val="89000"/>
              </a:schemeClr>
            </a:gs>
            <a:gs pos="23000">
              <a:schemeClr val="accent1">
                <a:lumMod val="89000"/>
              </a:schemeClr>
            </a:gs>
            <a:gs pos="69000">
              <a:schemeClr val="accent1">
                <a:lumMod val="75000"/>
              </a:schemeClr>
            </a:gs>
            <a:gs pos="97000">
              <a:schemeClr val="accent1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-28225</xdr:colOff>
      <xdr:row>0</xdr:row>
      <xdr:rowOff>0</xdr:rowOff>
    </xdr:from>
    <xdr:to>
      <xdr:col>38</xdr:col>
      <xdr:colOff>250366</xdr:colOff>
      <xdr:row>58</xdr:row>
      <xdr:rowOff>36114</xdr:rowOff>
    </xdr:to>
    <xdr:sp macro="" textlink="">
      <xdr:nvSpPr>
        <xdr:cNvPr id="28" name="Right Triangle 27">
          <a:extLst>
            <a:ext uri="{FF2B5EF4-FFF2-40B4-BE49-F238E27FC236}">
              <a16:creationId xmlns:a16="http://schemas.microsoft.com/office/drawing/2014/main" id="{401625E2-5C97-4CE9-6933-E6F6CA7BE0B8}"/>
            </a:ext>
          </a:extLst>
        </xdr:cNvPr>
        <xdr:cNvSpPr/>
      </xdr:nvSpPr>
      <xdr:spPr>
        <a:xfrm rot="5400000">
          <a:off x="6171292" y="-6199517"/>
          <a:ext cx="10828161" cy="23227196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3923419"/>
            <a:gd name="csY0" fmla="*/ 5404937 h 5404937"/>
            <a:gd name="csX1" fmla="*/ 3 w 3923419"/>
            <a:gd name="csY1" fmla="*/ 130808 h 5404937"/>
            <a:gd name="csX2" fmla="*/ 549742 w 3923419"/>
            <a:gd name="csY2" fmla="*/ 1502407 h 5404937"/>
            <a:gd name="csX3" fmla="*/ 2128160 w 3923419"/>
            <a:gd name="csY3" fmla="*/ 2493008 h 5404937"/>
            <a:gd name="csX4" fmla="*/ 2367649 w 3923419"/>
            <a:gd name="csY4" fmla="*/ 4506864 h 5404937"/>
            <a:gd name="csX5" fmla="*/ 3855278 w 3923419"/>
            <a:gd name="csY5" fmla="*/ 5356914 h 5404937"/>
            <a:gd name="csX6" fmla="*/ 0 w 3923419"/>
            <a:gd name="csY6" fmla="*/ 5404937 h 5404937"/>
            <a:gd name="csX0" fmla="*/ 0 w 3478162"/>
            <a:gd name="csY0" fmla="*/ 5404937 h 5404937"/>
            <a:gd name="csX1" fmla="*/ 3 w 3478162"/>
            <a:gd name="csY1" fmla="*/ 130808 h 5404937"/>
            <a:gd name="csX2" fmla="*/ 549742 w 3478162"/>
            <a:gd name="csY2" fmla="*/ 1502407 h 5404937"/>
            <a:gd name="csX3" fmla="*/ 2128160 w 3478162"/>
            <a:gd name="csY3" fmla="*/ 2493008 h 5404937"/>
            <a:gd name="csX4" fmla="*/ 2367649 w 3478162"/>
            <a:gd name="csY4" fmla="*/ 4506864 h 5404937"/>
            <a:gd name="csX5" fmla="*/ 3392783 w 3478162"/>
            <a:gd name="csY5" fmla="*/ 5316574 h 5404937"/>
            <a:gd name="csX6" fmla="*/ 0 w 3478162"/>
            <a:gd name="csY6" fmla="*/ 5404937 h 5404937"/>
            <a:gd name="csX0" fmla="*/ 0 w 3392783"/>
            <a:gd name="csY0" fmla="*/ 5404937 h 5404937"/>
            <a:gd name="csX1" fmla="*/ 3 w 3392783"/>
            <a:gd name="csY1" fmla="*/ 130808 h 5404937"/>
            <a:gd name="csX2" fmla="*/ 549742 w 3392783"/>
            <a:gd name="csY2" fmla="*/ 1502407 h 5404937"/>
            <a:gd name="csX3" fmla="*/ 2128160 w 3392783"/>
            <a:gd name="csY3" fmla="*/ 2493008 h 5404937"/>
            <a:gd name="csX4" fmla="*/ 2367649 w 3392783"/>
            <a:gd name="csY4" fmla="*/ 4506864 h 5404937"/>
            <a:gd name="csX5" fmla="*/ 3392783 w 3392783"/>
            <a:gd name="csY5" fmla="*/ 5316574 h 5404937"/>
            <a:gd name="csX6" fmla="*/ 0 w 3392783"/>
            <a:gd name="csY6" fmla="*/ 5404937 h 5404937"/>
            <a:gd name="csX0" fmla="*/ 0 w 3392783"/>
            <a:gd name="csY0" fmla="*/ 5404937 h 5404937"/>
            <a:gd name="csX1" fmla="*/ 3 w 3392783"/>
            <a:gd name="csY1" fmla="*/ 130808 h 5404937"/>
            <a:gd name="csX2" fmla="*/ 549742 w 3392783"/>
            <a:gd name="csY2" fmla="*/ 1502407 h 5404937"/>
            <a:gd name="csX3" fmla="*/ 2128160 w 3392783"/>
            <a:gd name="csY3" fmla="*/ 2493008 h 5404937"/>
            <a:gd name="csX4" fmla="*/ 2367649 w 3392783"/>
            <a:gd name="csY4" fmla="*/ 4506864 h 5404937"/>
            <a:gd name="csX5" fmla="*/ 3392783 w 3392783"/>
            <a:gd name="csY5" fmla="*/ 5316574 h 5404937"/>
            <a:gd name="csX6" fmla="*/ 0 w 3392783"/>
            <a:gd name="csY6" fmla="*/ 5404937 h 5404937"/>
            <a:gd name="csX0" fmla="*/ 0 w 3845114"/>
            <a:gd name="csY0" fmla="*/ 5404937 h 5444928"/>
            <a:gd name="csX1" fmla="*/ 3 w 3845114"/>
            <a:gd name="csY1" fmla="*/ 130808 h 5444928"/>
            <a:gd name="csX2" fmla="*/ 549742 w 3845114"/>
            <a:gd name="csY2" fmla="*/ 1502407 h 5444928"/>
            <a:gd name="csX3" fmla="*/ 2128160 w 3845114"/>
            <a:gd name="csY3" fmla="*/ 2493008 h 5444928"/>
            <a:gd name="csX4" fmla="*/ 2367649 w 3845114"/>
            <a:gd name="csY4" fmla="*/ 4506864 h 5444928"/>
            <a:gd name="csX5" fmla="*/ 3845114 w 3845114"/>
            <a:gd name="csY5" fmla="*/ 5444928 h 5444928"/>
            <a:gd name="csX6" fmla="*/ 0 w 3845114"/>
            <a:gd name="csY6" fmla="*/ 5404937 h 544492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3845114" h="5444928">
              <a:moveTo>
                <a:pt x="0" y="5404937"/>
              </a:moveTo>
              <a:lnTo>
                <a:pt x="3" y="130808"/>
              </a:lnTo>
              <a:cubicBezTo>
                <a:pt x="102512" y="-457928"/>
                <a:pt x="195049" y="1108707"/>
                <a:pt x="549742" y="1502407"/>
              </a:cubicBezTo>
              <a:cubicBezTo>
                <a:pt x="904435" y="1896107"/>
                <a:pt x="1825175" y="1992265"/>
                <a:pt x="2128160" y="2493008"/>
              </a:cubicBezTo>
              <a:cubicBezTo>
                <a:pt x="2431145" y="2993751"/>
                <a:pt x="2081490" y="4014877"/>
                <a:pt x="2367649" y="4506864"/>
              </a:cubicBezTo>
              <a:cubicBezTo>
                <a:pt x="2653808" y="4998851"/>
                <a:pt x="3565209" y="5319415"/>
                <a:pt x="3845114" y="5444928"/>
              </a:cubicBezTo>
              <a:lnTo>
                <a:pt x="0" y="5404937"/>
              </a:lnTo>
              <a:close/>
            </a:path>
          </a:pathLst>
        </a:custGeom>
        <a:gradFill flip="none" rotWithShape="1">
          <a:gsLst>
            <a:gs pos="64000">
              <a:srgbClr val="0EA7EC"/>
            </a:gs>
            <a:gs pos="90000">
              <a:srgbClr val="45C2E9"/>
            </a:gs>
            <a:gs pos="15000">
              <a:srgbClr val="062542"/>
            </a:gs>
          </a:gsLst>
          <a:lin ang="54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32883</xdr:colOff>
      <xdr:row>0</xdr:row>
      <xdr:rowOff>-1</xdr:rowOff>
    </xdr:from>
    <xdr:to>
      <xdr:col>32</xdr:col>
      <xdr:colOff>201304</xdr:colOff>
      <xdr:row>52</xdr:row>
      <xdr:rowOff>117670</xdr:rowOff>
    </xdr:to>
    <xdr:sp macro="" textlink="">
      <xdr:nvSpPr>
        <xdr:cNvPr id="33" name="Right Triangle 27">
          <a:extLst>
            <a:ext uri="{FF2B5EF4-FFF2-40B4-BE49-F238E27FC236}">
              <a16:creationId xmlns:a16="http://schemas.microsoft.com/office/drawing/2014/main" id="{861D8A65-ADF2-4CBE-B4F5-E45722F0CC47}"/>
            </a:ext>
          </a:extLst>
        </xdr:cNvPr>
        <xdr:cNvSpPr/>
      </xdr:nvSpPr>
      <xdr:spPr>
        <a:xfrm rot="5400000">
          <a:off x="4718490" y="-4685608"/>
          <a:ext cx="9710850" cy="19082063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4098758"/>
            <a:gd name="csY0" fmla="*/ 5406270 h 5438927"/>
            <a:gd name="csX1" fmla="*/ 3 w 4098758"/>
            <a:gd name="csY1" fmla="*/ 132141 h 5438927"/>
            <a:gd name="csX2" fmla="*/ 549742 w 4098758"/>
            <a:gd name="csY2" fmla="*/ 1503740 h 5438927"/>
            <a:gd name="csX3" fmla="*/ 1661087 w 4098758"/>
            <a:gd name="csY3" fmla="*/ 2624271 h 5438927"/>
            <a:gd name="csX4" fmla="*/ 2367649 w 4098758"/>
            <a:gd name="csY4" fmla="*/ 4508197 h 5438927"/>
            <a:gd name="csX5" fmla="*/ 4033160 w 4098758"/>
            <a:gd name="csY5" fmla="*/ 5438927 h 5438927"/>
            <a:gd name="csX6" fmla="*/ 0 w 4098758"/>
            <a:gd name="csY6" fmla="*/ 5406270 h 5438927"/>
            <a:gd name="csX0" fmla="*/ 0 w 4095233"/>
            <a:gd name="csY0" fmla="*/ 5406270 h 5438927"/>
            <a:gd name="csX1" fmla="*/ 3 w 4095233"/>
            <a:gd name="csY1" fmla="*/ 132141 h 5438927"/>
            <a:gd name="csX2" fmla="*/ 549742 w 4095233"/>
            <a:gd name="csY2" fmla="*/ 1503740 h 5438927"/>
            <a:gd name="csX3" fmla="*/ 1661087 w 4095233"/>
            <a:gd name="csY3" fmla="*/ 2624271 h 5438927"/>
            <a:gd name="csX4" fmla="*/ 2254035 w 4095233"/>
            <a:gd name="csY4" fmla="*/ 4716086 h 5438927"/>
            <a:gd name="csX5" fmla="*/ 4033160 w 4095233"/>
            <a:gd name="csY5" fmla="*/ 5438927 h 5438927"/>
            <a:gd name="csX6" fmla="*/ 0 w 4095233"/>
            <a:gd name="csY6" fmla="*/ 5406270 h 5438927"/>
            <a:gd name="csX0" fmla="*/ 0 w 4095233"/>
            <a:gd name="csY0" fmla="*/ 5402926 h 5435583"/>
            <a:gd name="csX1" fmla="*/ 3 w 4095233"/>
            <a:gd name="csY1" fmla="*/ 128797 h 5435583"/>
            <a:gd name="csX2" fmla="*/ 915830 w 4095233"/>
            <a:gd name="csY2" fmla="*/ 1552367 h 5435583"/>
            <a:gd name="csX3" fmla="*/ 1661087 w 4095233"/>
            <a:gd name="csY3" fmla="*/ 2620927 h 5435583"/>
            <a:gd name="csX4" fmla="*/ 2254035 w 4095233"/>
            <a:gd name="csY4" fmla="*/ 4712742 h 5435583"/>
            <a:gd name="csX5" fmla="*/ 4033160 w 4095233"/>
            <a:gd name="csY5" fmla="*/ 5435583 h 5435583"/>
            <a:gd name="csX6" fmla="*/ 0 w 4095233"/>
            <a:gd name="csY6" fmla="*/ 5402926 h 5435583"/>
            <a:gd name="csX0" fmla="*/ 0 w 4095233"/>
            <a:gd name="csY0" fmla="*/ 5400655 h 5433312"/>
            <a:gd name="csX1" fmla="*/ 3 w 4095233"/>
            <a:gd name="csY1" fmla="*/ 126526 h 5433312"/>
            <a:gd name="csX2" fmla="*/ 9158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0655 h 5433312"/>
            <a:gd name="csX1" fmla="*/ 3 w 4095233"/>
            <a:gd name="csY1" fmla="*/ 126526 h 5433312"/>
            <a:gd name="csX2" fmla="*/ 7012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5565 h 5438222"/>
            <a:gd name="csX1" fmla="*/ 3 w 4095233"/>
            <a:gd name="csY1" fmla="*/ 131436 h 5438222"/>
            <a:gd name="csX2" fmla="*/ 574997 w 4095233"/>
            <a:gd name="csY2" fmla="*/ 1477048 h 5438222"/>
            <a:gd name="csX3" fmla="*/ 1661087 w 4095233"/>
            <a:gd name="csY3" fmla="*/ 2623566 h 5438222"/>
            <a:gd name="csX4" fmla="*/ 2254035 w 4095233"/>
            <a:gd name="csY4" fmla="*/ 4715381 h 5438222"/>
            <a:gd name="csX5" fmla="*/ 4033160 w 4095233"/>
            <a:gd name="csY5" fmla="*/ 5438222 h 5438222"/>
            <a:gd name="csX6" fmla="*/ 0 w 4095233"/>
            <a:gd name="csY6" fmla="*/ 5405565 h 5438222"/>
            <a:gd name="csX0" fmla="*/ 0 w 4095233"/>
            <a:gd name="csY0" fmla="*/ 5411394 h 5444051"/>
            <a:gd name="csX1" fmla="*/ 3 w 4095233"/>
            <a:gd name="csY1" fmla="*/ 137265 h 5444051"/>
            <a:gd name="csX2" fmla="*/ 574997 w 4095233"/>
            <a:gd name="csY2" fmla="*/ 1482877 h 5444051"/>
            <a:gd name="csX3" fmla="*/ 1661087 w 4095233"/>
            <a:gd name="csY3" fmla="*/ 2629395 h 5444051"/>
            <a:gd name="csX4" fmla="*/ 2254035 w 4095233"/>
            <a:gd name="csY4" fmla="*/ 4721210 h 5444051"/>
            <a:gd name="csX5" fmla="*/ 4033160 w 4095233"/>
            <a:gd name="csY5" fmla="*/ 5444051 h 5444051"/>
            <a:gd name="csX6" fmla="*/ 0 w 4095233"/>
            <a:gd name="csY6" fmla="*/ 5411394 h 5444051"/>
            <a:gd name="csX0" fmla="*/ 0 w 4095233"/>
            <a:gd name="csY0" fmla="*/ 5274129 h 5306786"/>
            <a:gd name="csX1" fmla="*/ 3 w 4095233"/>
            <a:gd name="csY1" fmla="*/ 0 h 5306786"/>
            <a:gd name="csX2" fmla="*/ 574997 w 4095233"/>
            <a:gd name="csY2" fmla="*/ 1345612 h 5306786"/>
            <a:gd name="csX3" fmla="*/ 1661087 w 4095233"/>
            <a:gd name="csY3" fmla="*/ 2492130 h 5306786"/>
            <a:gd name="csX4" fmla="*/ 2254035 w 4095233"/>
            <a:gd name="csY4" fmla="*/ 4583945 h 5306786"/>
            <a:gd name="csX5" fmla="*/ 4033160 w 4095233"/>
            <a:gd name="csY5" fmla="*/ 5306786 h 5306786"/>
            <a:gd name="csX6" fmla="*/ 0 w 4095233"/>
            <a:gd name="csY6" fmla="*/ 5274129 h 5306786"/>
            <a:gd name="csX0" fmla="*/ 0 w 4095233"/>
            <a:gd name="csY0" fmla="*/ 5274129 h 5337426"/>
            <a:gd name="csX1" fmla="*/ 3 w 4095233"/>
            <a:gd name="csY1" fmla="*/ 0 h 5337426"/>
            <a:gd name="csX2" fmla="*/ 574997 w 4095233"/>
            <a:gd name="csY2" fmla="*/ 1345612 h 5337426"/>
            <a:gd name="csX3" fmla="*/ 1661087 w 4095233"/>
            <a:gd name="csY3" fmla="*/ 2492130 h 5337426"/>
            <a:gd name="csX4" fmla="*/ 2254035 w 4095233"/>
            <a:gd name="csY4" fmla="*/ 4583945 h 5337426"/>
            <a:gd name="csX5" fmla="*/ 4033160 w 4095233"/>
            <a:gd name="csY5" fmla="*/ 5337426 h 5337426"/>
            <a:gd name="csX6" fmla="*/ 0 w 4095233"/>
            <a:gd name="csY6" fmla="*/ 5274129 h 5337426"/>
            <a:gd name="csX0" fmla="*/ 0 w 4033160"/>
            <a:gd name="csY0" fmla="*/ 5274129 h 5337426"/>
            <a:gd name="csX1" fmla="*/ 3 w 4033160"/>
            <a:gd name="csY1" fmla="*/ 0 h 5337426"/>
            <a:gd name="csX2" fmla="*/ 574997 w 4033160"/>
            <a:gd name="csY2" fmla="*/ 1345612 h 5337426"/>
            <a:gd name="csX3" fmla="*/ 1661087 w 4033160"/>
            <a:gd name="csY3" fmla="*/ 2492130 h 5337426"/>
            <a:gd name="csX4" fmla="*/ 2254035 w 4033160"/>
            <a:gd name="csY4" fmla="*/ 4583945 h 5337426"/>
            <a:gd name="csX5" fmla="*/ 4033160 w 4033160"/>
            <a:gd name="csY5" fmla="*/ 5337426 h 5337426"/>
            <a:gd name="csX6" fmla="*/ 0 w 4033160"/>
            <a:gd name="csY6" fmla="*/ 5274129 h 533742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4033160" h="5337426">
              <a:moveTo>
                <a:pt x="0" y="5274129"/>
              </a:moveTo>
              <a:lnTo>
                <a:pt x="3" y="0"/>
              </a:lnTo>
              <a:cubicBezTo>
                <a:pt x="161450" y="899507"/>
                <a:pt x="197164" y="878285"/>
                <a:pt x="574997" y="1345612"/>
              </a:cubicBezTo>
              <a:cubicBezTo>
                <a:pt x="952830" y="1812939"/>
                <a:pt x="1381247" y="1952408"/>
                <a:pt x="1661087" y="2492130"/>
              </a:cubicBezTo>
              <a:cubicBezTo>
                <a:pt x="1940927" y="3031852"/>
                <a:pt x="1858690" y="4109729"/>
                <a:pt x="2254035" y="4583945"/>
              </a:cubicBezTo>
              <a:cubicBezTo>
                <a:pt x="2649381" y="5058161"/>
                <a:pt x="3600832" y="5170035"/>
                <a:pt x="4033160" y="5337426"/>
              </a:cubicBezTo>
              <a:lnTo>
                <a:pt x="0" y="5274129"/>
              </a:lnTo>
              <a:close/>
            </a:path>
          </a:pathLst>
        </a:custGeom>
        <a:gradFill flip="none" rotWithShape="1">
          <a:gsLst>
            <a:gs pos="34000">
              <a:srgbClr val="0EA7EC"/>
            </a:gs>
            <a:gs pos="64000">
              <a:schemeClr val="accent1">
                <a:lumMod val="75000"/>
              </a:schemeClr>
            </a:gs>
            <a:gs pos="100000">
              <a:srgbClr val="0A6697"/>
            </a:gs>
            <a:gs pos="0">
              <a:srgbClr val="062542"/>
            </a:gs>
          </a:gsLst>
          <a:lin ang="108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521</xdr:colOff>
      <xdr:row>0</xdr:row>
      <xdr:rowOff>5488</xdr:rowOff>
    </xdr:from>
    <xdr:to>
      <xdr:col>22</xdr:col>
      <xdr:colOff>661470</xdr:colOff>
      <xdr:row>38</xdr:row>
      <xdr:rowOff>98999</xdr:rowOff>
    </xdr:to>
    <xdr:sp macro="" textlink="">
      <xdr:nvSpPr>
        <xdr:cNvPr id="34" name="Right Triangle 27">
          <a:extLst>
            <a:ext uri="{FF2B5EF4-FFF2-40B4-BE49-F238E27FC236}">
              <a16:creationId xmlns:a16="http://schemas.microsoft.com/office/drawing/2014/main" id="{32960BA9-4791-4C3D-B33E-B364B3246DDA}"/>
            </a:ext>
          </a:extLst>
        </xdr:cNvPr>
        <xdr:cNvSpPr/>
      </xdr:nvSpPr>
      <xdr:spPr>
        <a:xfrm rot="5400000">
          <a:off x="2836054" y="-2830045"/>
          <a:ext cx="7164162" cy="12835228"/>
        </a:xfrm>
        <a:custGeom>
          <a:avLst/>
          <a:gdLst>
            <a:gd name="csX0" fmla="*/ 0 w 3521529"/>
            <a:gd name="csY0" fmla="*/ 5023757 h 5023757"/>
            <a:gd name="csX1" fmla="*/ 0 w 3521529"/>
            <a:gd name="csY1" fmla="*/ 0 h 5023757"/>
            <a:gd name="csX2" fmla="*/ 3521529 w 3521529"/>
            <a:gd name="csY2" fmla="*/ 5023757 h 5023757"/>
            <a:gd name="csX3" fmla="*/ 0 w 3521529"/>
            <a:gd name="csY3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3521529 w 3521529"/>
            <a:gd name="csY3" fmla="*/ 5023757 h 5023757"/>
            <a:gd name="csX4" fmla="*/ 0 w 3521529"/>
            <a:gd name="csY4" fmla="*/ 5023757 h 5023757"/>
            <a:gd name="csX0" fmla="*/ 0 w 3521529"/>
            <a:gd name="csY0" fmla="*/ 5023757 h 5023757"/>
            <a:gd name="csX1" fmla="*/ 0 w 3521529"/>
            <a:gd name="csY1" fmla="*/ 0 h 5023757"/>
            <a:gd name="csX2" fmla="*/ 1387930 w 3521529"/>
            <a:gd name="csY2" fmla="*/ 2275113 h 5023757"/>
            <a:gd name="csX3" fmla="*/ 2639787 w 3521529"/>
            <a:gd name="csY3" fmla="*/ 3592284 h 5023757"/>
            <a:gd name="csX4" fmla="*/ 3521529 w 3521529"/>
            <a:gd name="csY4" fmla="*/ 5023757 h 5023757"/>
            <a:gd name="csX5" fmla="*/ 0 w 3521529"/>
            <a:gd name="csY5" fmla="*/ 5023757 h 5023757"/>
            <a:gd name="csX0" fmla="*/ 0 w 3521529"/>
            <a:gd name="csY0" fmla="*/ 5192406 h 5192406"/>
            <a:gd name="csX1" fmla="*/ 0 w 3521529"/>
            <a:gd name="csY1" fmla="*/ 168649 h 5192406"/>
            <a:gd name="csX2" fmla="*/ 767444 w 3521529"/>
            <a:gd name="csY2" fmla="*/ 1311648 h 5192406"/>
            <a:gd name="csX3" fmla="*/ 1387930 w 3521529"/>
            <a:gd name="csY3" fmla="*/ 2443762 h 5192406"/>
            <a:gd name="csX4" fmla="*/ 2639787 w 3521529"/>
            <a:gd name="csY4" fmla="*/ 3760933 h 5192406"/>
            <a:gd name="csX5" fmla="*/ 3521529 w 3521529"/>
            <a:gd name="csY5" fmla="*/ 5192406 h 5192406"/>
            <a:gd name="csX6" fmla="*/ 0 w 3521529"/>
            <a:gd name="csY6" fmla="*/ 5192406 h 5192406"/>
            <a:gd name="csX0" fmla="*/ 0 w 3521529"/>
            <a:gd name="csY0" fmla="*/ 5160498 h 5160498"/>
            <a:gd name="csX1" fmla="*/ 0 w 3521529"/>
            <a:gd name="csY1" fmla="*/ 136741 h 5160498"/>
            <a:gd name="csX2" fmla="*/ 615047 w 3521529"/>
            <a:gd name="csY2" fmla="*/ 1726054 h 5160498"/>
            <a:gd name="csX3" fmla="*/ 1387930 w 3521529"/>
            <a:gd name="csY3" fmla="*/ 2411854 h 5160498"/>
            <a:gd name="csX4" fmla="*/ 2639787 w 3521529"/>
            <a:gd name="csY4" fmla="*/ 3729025 h 5160498"/>
            <a:gd name="csX5" fmla="*/ 3521529 w 3521529"/>
            <a:gd name="csY5" fmla="*/ 5160498 h 5160498"/>
            <a:gd name="csX6" fmla="*/ 0 w 3521529"/>
            <a:gd name="csY6" fmla="*/ 5160498 h 5160498"/>
            <a:gd name="csX0" fmla="*/ 0 w 3521529"/>
            <a:gd name="csY0" fmla="*/ 5159901 h 5159901"/>
            <a:gd name="csX1" fmla="*/ 0 w 3521529"/>
            <a:gd name="csY1" fmla="*/ 136144 h 5159901"/>
            <a:gd name="csX2" fmla="*/ 615047 w 3521529"/>
            <a:gd name="csY2" fmla="*/ 1725457 h 5159901"/>
            <a:gd name="csX3" fmla="*/ 1387930 w 3521529"/>
            <a:gd name="csY3" fmla="*/ 2411257 h 5159901"/>
            <a:gd name="csX4" fmla="*/ 2639787 w 3521529"/>
            <a:gd name="csY4" fmla="*/ 3728428 h 5159901"/>
            <a:gd name="csX5" fmla="*/ 3521529 w 3521529"/>
            <a:gd name="csY5" fmla="*/ 5159901 h 5159901"/>
            <a:gd name="csX6" fmla="*/ 0 w 3521529"/>
            <a:gd name="csY6" fmla="*/ 5159901 h 515990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1387930 w 3521529"/>
            <a:gd name="csY3" fmla="*/ 2419227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2639787 w 3521529"/>
            <a:gd name="csY4" fmla="*/ 37363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67871 h 5167871"/>
            <a:gd name="csX1" fmla="*/ 0 w 3521529"/>
            <a:gd name="csY1" fmla="*/ 144114 h 5167871"/>
            <a:gd name="csX2" fmla="*/ 800105 w 3521529"/>
            <a:gd name="csY2" fmla="*/ 1602798 h 5167871"/>
            <a:gd name="csX3" fmla="*/ 2204359 w 3521529"/>
            <a:gd name="csY3" fmla="*/ 2669598 h 5167871"/>
            <a:gd name="csX4" fmla="*/ 3249387 w 3521529"/>
            <a:gd name="csY4" fmla="*/ 4269798 h 5167871"/>
            <a:gd name="csX5" fmla="*/ 3521529 w 3521529"/>
            <a:gd name="csY5" fmla="*/ 5167871 h 5167871"/>
            <a:gd name="csX6" fmla="*/ 0 w 3521529"/>
            <a:gd name="csY6" fmla="*/ 5167871 h 5167871"/>
            <a:gd name="csX0" fmla="*/ 0 w 3521529"/>
            <a:gd name="csY0" fmla="*/ 5172210 h 5172210"/>
            <a:gd name="csX1" fmla="*/ 0 w 3521529"/>
            <a:gd name="csY1" fmla="*/ 148453 h 5172210"/>
            <a:gd name="csX2" fmla="*/ 713020 w 3521529"/>
            <a:gd name="csY2" fmla="*/ 1541823 h 5172210"/>
            <a:gd name="csX3" fmla="*/ 2204359 w 3521529"/>
            <a:gd name="csY3" fmla="*/ 2673937 h 5172210"/>
            <a:gd name="csX4" fmla="*/ 3249387 w 3521529"/>
            <a:gd name="csY4" fmla="*/ 4274137 h 5172210"/>
            <a:gd name="csX5" fmla="*/ 3521529 w 3521529"/>
            <a:gd name="csY5" fmla="*/ 5172210 h 5172210"/>
            <a:gd name="csX6" fmla="*/ 0 w 3521529"/>
            <a:gd name="csY6" fmla="*/ 5172210 h 5172210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249387 w 4033160"/>
            <a:gd name="csY4" fmla="*/ 4274137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3020790 w 4033160"/>
            <a:gd name="csY4" fmla="*/ 4568051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72210 h 5204867"/>
            <a:gd name="csX1" fmla="*/ 0 w 4033160"/>
            <a:gd name="csY1" fmla="*/ 148453 h 5204867"/>
            <a:gd name="csX2" fmla="*/ 713020 w 4033160"/>
            <a:gd name="csY2" fmla="*/ 1541823 h 5204867"/>
            <a:gd name="csX3" fmla="*/ 2204359 w 4033160"/>
            <a:gd name="csY3" fmla="*/ 2673937 h 5204867"/>
            <a:gd name="csX4" fmla="*/ 2781307 w 4033160"/>
            <a:gd name="csY4" fmla="*/ 4557165 h 5204867"/>
            <a:gd name="csX5" fmla="*/ 4033160 w 4033160"/>
            <a:gd name="csY5" fmla="*/ 5204867 h 5204867"/>
            <a:gd name="csX6" fmla="*/ 0 w 4033160"/>
            <a:gd name="csY6" fmla="*/ 5172210 h 5204867"/>
            <a:gd name="csX0" fmla="*/ 0 w 4033160"/>
            <a:gd name="csY0" fmla="*/ 5158656 h 5191313"/>
            <a:gd name="csX1" fmla="*/ 0 w 4033160"/>
            <a:gd name="csY1" fmla="*/ 134899 h 5191313"/>
            <a:gd name="csX2" fmla="*/ 713023 w 4033160"/>
            <a:gd name="csY2" fmla="*/ 1745983 h 5191313"/>
            <a:gd name="csX3" fmla="*/ 2204359 w 4033160"/>
            <a:gd name="csY3" fmla="*/ 2660383 h 5191313"/>
            <a:gd name="csX4" fmla="*/ 2781307 w 4033160"/>
            <a:gd name="csY4" fmla="*/ 4543611 h 5191313"/>
            <a:gd name="csX5" fmla="*/ 4033160 w 4033160"/>
            <a:gd name="csY5" fmla="*/ 5191313 h 5191313"/>
            <a:gd name="csX6" fmla="*/ 0 w 4033160"/>
            <a:gd name="csY6" fmla="*/ 5158656 h 519131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781307 w 4033160"/>
            <a:gd name="csY4" fmla="*/ 4781131 h 5428833"/>
            <a:gd name="csX5" fmla="*/ 4033160 w 4033160"/>
            <a:gd name="csY5" fmla="*/ 5428833 h 5428833"/>
            <a:gd name="csX6" fmla="*/ 0 w 4033160"/>
            <a:gd name="csY6" fmla="*/ 5396176 h 5428833"/>
            <a:gd name="csX0" fmla="*/ 0 w 4033160"/>
            <a:gd name="csY0" fmla="*/ 5396176 h 5428833"/>
            <a:gd name="csX1" fmla="*/ 3 w 4033160"/>
            <a:gd name="csY1" fmla="*/ 122047 h 5428833"/>
            <a:gd name="csX2" fmla="*/ 713023 w 4033160"/>
            <a:gd name="csY2" fmla="*/ 1983503 h 5428833"/>
            <a:gd name="csX3" fmla="*/ 2204359 w 4033160"/>
            <a:gd name="csY3" fmla="*/ 2897903 h 5428833"/>
            <a:gd name="csX4" fmla="*/ 2302333 w 4033160"/>
            <a:gd name="csY4" fmla="*/ 4117104 h 5428833"/>
            <a:gd name="csX5" fmla="*/ 2781307 w 4033160"/>
            <a:gd name="csY5" fmla="*/ 4781131 h 5428833"/>
            <a:gd name="csX6" fmla="*/ 4033160 w 4033160"/>
            <a:gd name="csY6" fmla="*/ 5428833 h 5428833"/>
            <a:gd name="csX7" fmla="*/ 0 w 4033160"/>
            <a:gd name="csY7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2204359 w 4181922"/>
            <a:gd name="csY3" fmla="*/ 2897903 h 5428833"/>
            <a:gd name="csX4" fmla="*/ 2302333 w 4181922"/>
            <a:gd name="csY4" fmla="*/ 4117104 h 5428833"/>
            <a:gd name="csX5" fmla="*/ 2781307 w 4181922"/>
            <a:gd name="csY5" fmla="*/ 4781131 h 5428833"/>
            <a:gd name="csX6" fmla="*/ 3249390 w 4181922"/>
            <a:gd name="csY6" fmla="*/ 5075047 h 5428833"/>
            <a:gd name="csX7" fmla="*/ 4033160 w 4181922"/>
            <a:gd name="csY7" fmla="*/ 5428833 h 5428833"/>
            <a:gd name="csX8" fmla="*/ 0 w 4181922"/>
            <a:gd name="csY8" fmla="*/ 5396176 h 5428833"/>
            <a:gd name="csX0" fmla="*/ 0 w 4181922"/>
            <a:gd name="csY0" fmla="*/ 5396176 h 5428833"/>
            <a:gd name="csX1" fmla="*/ 3 w 4181922"/>
            <a:gd name="csY1" fmla="*/ 122047 h 5428833"/>
            <a:gd name="csX2" fmla="*/ 713023 w 4181922"/>
            <a:gd name="csY2" fmla="*/ 1983503 h 5428833"/>
            <a:gd name="csX3" fmla="*/ 1431475 w 4181922"/>
            <a:gd name="csY3" fmla="*/ 2277419 h 5428833"/>
            <a:gd name="csX4" fmla="*/ 2204359 w 4181922"/>
            <a:gd name="csY4" fmla="*/ 2897903 h 5428833"/>
            <a:gd name="csX5" fmla="*/ 2302333 w 4181922"/>
            <a:gd name="csY5" fmla="*/ 4117104 h 5428833"/>
            <a:gd name="csX6" fmla="*/ 2781307 w 4181922"/>
            <a:gd name="csY6" fmla="*/ 4781131 h 5428833"/>
            <a:gd name="csX7" fmla="*/ 3249390 w 4181922"/>
            <a:gd name="csY7" fmla="*/ 5075047 h 5428833"/>
            <a:gd name="csX8" fmla="*/ 4033160 w 4181922"/>
            <a:gd name="csY8" fmla="*/ 5428833 h 5428833"/>
            <a:gd name="csX9" fmla="*/ 0 w 4181922"/>
            <a:gd name="csY9" fmla="*/ 5396176 h 5428833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273028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431475 w 4181922"/>
            <a:gd name="csY3" fmla="*/ 2164171 h 5424442"/>
            <a:gd name="csX4" fmla="*/ 1790700 w 4181922"/>
            <a:gd name="csY4" fmla="*/ 2273027 h 5424442"/>
            <a:gd name="csX5" fmla="*/ 2204359 w 4181922"/>
            <a:gd name="csY5" fmla="*/ 2893512 h 5424442"/>
            <a:gd name="csX6" fmla="*/ 2302333 w 4181922"/>
            <a:gd name="csY6" fmla="*/ 4112713 h 5424442"/>
            <a:gd name="csX7" fmla="*/ 2781307 w 4181922"/>
            <a:gd name="csY7" fmla="*/ 4776740 h 5424442"/>
            <a:gd name="csX8" fmla="*/ 3249390 w 4181922"/>
            <a:gd name="csY8" fmla="*/ 5070656 h 5424442"/>
            <a:gd name="csX9" fmla="*/ 4033160 w 4181922"/>
            <a:gd name="csY9" fmla="*/ 5424442 h 5424442"/>
            <a:gd name="csX10" fmla="*/ 0 w 4181922"/>
            <a:gd name="csY10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204359 w 4181922"/>
            <a:gd name="csY4" fmla="*/ 2893512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02333 w 4181922"/>
            <a:gd name="csY5" fmla="*/ 4112713 h 5424442"/>
            <a:gd name="csX6" fmla="*/ 2781307 w 4181922"/>
            <a:gd name="csY6" fmla="*/ 4776740 h 5424442"/>
            <a:gd name="csX7" fmla="*/ 3249390 w 4181922"/>
            <a:gd name="csY7" fmla="*/ 5070656 h 5424442"/>
            <a:gd name="csX8" fmla="*/ 4033160 w 4181922"/>
            <a:gd name="csY8" fmla="*/ 5424442 h 5424442"/>
            <a:gd name="csX9" fmla="*/ 0 w 4181922"/>
            <a:gd name="csY9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781307 w 4181922"/>
            <a:gd name="csY5" fmla="*/ 4776740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3249390 w 4181922"/>
            <a:gd name="csY5" fmla="*/ 5070656 h 5424442"/>
            <a:gd name="csX6" fmla="*/ 4033160 w 4181922"/>
            <a:gd name="csY6" fmla="*/ 5424442 h 5424442"/>
            <a:gd name="csX7" fmla="*/ 0 w 4181922"/>
            <a:gd name="csY7" fmla="*/ 5391785 h 5424442"/>
            <a:gd name="csX0" fmla="*/ 0 w 4181922"/>
            <a:gd name="csY0" fmla="*/ 5391785 h 5424442"/>
            <a:gd name="csX1" fmla="*/ 3 w 4181922"/>
            <a:gd name="csY1" fmla="*/ 117656 h 5424442"/>
            <a:gd name="csX2" fmla="*/ 571511 w 4181922"/>
            <a:gd name="csY2" fmla="*/ 2077083 h 5424442"/>
            <a:gd name="csX3" fmla="*/ 1790700 w 4181922"/>
            <a:gd name="csY3" fmla="*/ 2273027 h 5424442"/>
            <a:gd name="csX4" fmla="*/ 2313216 w 4181922"/>
            <a:gd name="csY4" fmla="*/ 2860855 h 5424442"/>
            <a:gd name="csX5" fmla="*/ 2356757 w 4181922"/>
            <a:gd name="csY5" fmla="*/ 4439284 h 5424442"/>
            <a:gd name="csX6" fmla="*/ 3249390 w 4181922"/>
            <a:gd name="csY6" fmla="*/ 5070656 h 5424442"/>
            <a:gd name="csX7" fmla="*/ 4033160 w 4181922"/>
            <a:gd name="csY7" fmla="*/ 5424442 h 5424442"/>
            <a:gd name="csX8" fmla="*/ 0 w 4181922"/>
            <a:gd name="csY8" fmla="*/ 5391785 h 5424442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356757 w 4181922"/>
            <a:gd name="csY5" fmla="*/ 4449505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1922"/>
            <a:gd name="csY0" fmla="*/ 5402006 h 5434663"/>
            <a:gd name="csX1" fmla="*/ 3 w 4181922"/>
            <a:gd name="csY1" fmla="*/ 127877 h 5434663"/>
            <a:gd name="csX2" fmla="*/ 615054 w 4181922"/>
            <a:gd name="csY2" fmla="*/ 1869590 h 5434663"/>
            <a:gd name="csX3" fmla="*/ 1790700 w 4181922"/>
            <a:gd name="csY3" fmla="*/ 2283248 h 5434663"/>
            <a:gd name="csX4" fmla="*/ 2313216 w 4181922"/>
            <a:gd name="csY4" fmla="*/ 2871076 h 5434663"/>
            <a:gd name="csX5" fmla="*/ 2498274 w 4181922"/>
            <a:gd name="csY5" fmla="*/ 4318876 h 5434663"/>
            <a:gd name="csX6" fmla="*/ 3249390 w 4181922"/>
            <a:gd name="csY6" fmla="*/ 5080877 h 5434663"/>
            <a:gd name="csX7" fmla="*/ 4033160 w 4181922"/>
            <a:gd name="csY7" fmla="*/ 5434663 h 5434663"/>
            <a:gd name="csX8" fmla="*/ 0 w 4181922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402006 h 5434663"/>
            <a:gd name="csX1" fmla="*/ 3 w 4185156"/>
            <a:gd name="csY1" fmla="*/ 127877 h 5434663"/>
            <a:gd name="csX2" fmla="*/ 615054 w 4185156"/>
            <a:gd name="csY2" fmla="*/ 1869590 h 5434663"/>
            <a:gd name="csX3" fmla="*/ 1790700 w 4185156"/>
            <a:gd name="csY3" fmla="*/ 2283248 h 5434663"/>
            <a:gd name="csX4" fmla="*/ 2313216 w 4185156"/>
            <a:gd name="csY4" fmla="*/ 2871076 h 5434663"/>
            <a:gd name="csX5" fmla="*/ 2498274 w 4185156"/>
            <a:gd name="csY5" fmla="*/ 4318876 h 5434663"/>
            <a:gd name="csX6" fmla="*/ 3282051 w 4185156"/>
            <a:gd name="csY6" fmla="*/ 5015563 h 5434663"/>
            <a:gd name="csX7" fmla="*/ 4033160 w 4185156"/>
            <a:gd name="csY7" fmla="*/ 5434663 h 5434663"/>
            <a:gd name="csX8" fmla="*/ 0 w 4185156"/>
            <a:gd name="csY8" fmla="*/ 5402006 h 5434663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52197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85156"/>
            <a:gd name="csY0" fmla="*/ 5383127 h 5415784"/>
            <a:gd name="csX1" fmla="*/ 3 w 4185156"/>
            <a:gd name="csY1" fmla="*/ 108998 h 5415784"/>
            <a:gd name="csX2" fmla="*/ 615054 w 4185156"/>
            <a:gd name="csY2" fmla="*/ 1850711 h 5415784"/>
            <a:gd name="csX3" fmla="*/ 1790700 w 4185156"/>
            <a:gd name="csY3" fmla="*/ 2264369 h 5415784"/>
            <a:gd name="csX4" fmla="*/ 2313216 w 4185156"/>
            <a:gd name="csY4" fmla="*/ 2884854 h 5415784"/>
            <a:gd name="csX5" fmla="*/ 2498274 w 4185156"/>
            <a:gd name="csY5" fmla="*/ 4299997 h 5415784"/>
            <a:gd name="csX6" fmla="*/ 3282051 w 4185156"/>
            <a:gd name="csY6" fmla="*/ 4996684 h 5415784"/>
            <a:gd name="csX7" fmla="*/ 4033160 w 4185156"/>
            <a:gd name="csY7" fmla="*/ 5415784 h 5415784"/>
            <a:gd name="csX8" fmla="*/ 0 w 4185156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313216 w 4199464"/>
            <a:gd name="csY4" fmla="*/ 2884854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127 h 5415784"/>
            <a:gd name="csX1" fmla="*/ 3 w 4199464"/>
            <a:gd name="csY1" fmla="*/ 108998 h 5415784"/>
            <a:gd name="csX2" fmla="*/ 615054 w 4199464"/>
            <a:gd name="csY2" fmla="*/ 1850711 h 5415784"/>
            <a:gd name="csX3" fmla="*/ 1790700 w 4199464"/>
            <a:gd name="csY3" fmla="*/ 2264369 h 5415784"/>
            <a:gd name="csX4" fmla="*/ 2400302 w 4199464"/>
            <a:gd name="csY4" fmla="*/ 2819540 h 5415784"/>
            <a:gd name="csX5" fmla="*/ 2498274 w 4199464"/>
            <a:gd name="csY5" fmla="*/ 4299997 h 5415784"/>
            <a:gd name="csX6" fmla="*/ 3282051 w 4199464"/>
            <a:gd name="csY6" fmla="*/ 4996684 h 5415784"/>
            <a:gd name="csX7" fmla="*/ 4033160 w 4199464"/>
            <a:gd name="csY7" fmla="*/ 5415784 h 5415784"/>
            <a:gd name="csX8" fmla="*/ 0 w 4199464"/>
            <a:gd name="csY8" fmla="*/ 5383127 h 5415784"/>
            <a:gd name="csX0" fmla="*/ 0 w 4199464"/>
            <a:gd name="csY0" fmla="*/ 5383205 h 5415862"/>
            <a:gd name="csX1" fmla="*/ 3 w 4199464"/>
            <a:gd name="csY1" fmla="*/ 109076 h 5415862"/>
            <a:gd name="csX2" fmla="*/ 615054 w 4199464"/>
            <a:gd name="csY2" fmla="*/ 1850789 h 5415862"/>
            <a:gd name="csX3" fmla="*/ 1551214 w 4199464"/>
            <a:gd name="csY3" fmla="*/ 2275333 h 5415862"/>
            <a:gd name="csX4" fmla="*/ 2400302 w 4199464"/>
            <a:gd name="csY4" fmla="*/ 2819618 h 5415862"/>
            <a:gd name="csX5" fmla="*/ 2498274 w 4199464"/>
            <a:gd name="csY5" fmla="*/ 4300075 h 5415862"/>
            <a:gd name="csX6" fmla="*/ 3282051 w 4199464"/>
            <a:gd name="csY6" fmla="*/ 4996762 h 5415862"/>
            <a:gd name="csX7" fmla="*/ 4033160 w 4199464"/>
            <a:gd name="csY7" fmla="*/ 5415862 h 5415862"/>
            <a:gd name="csX8" fmla="*/ 0 w 4199464"/>
            <a:gd name="csY8" fmla="*/ 5383205 h 5415862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00302 w 4199464"/>
            <a:gd name="csY4" fmla="*/ 2825324 h 5421568"/>
            <a:gd name="csX5" fmla="*/ 2498274 w 4199464"/>
            <a:gd name="csY5" fmla="*/ 4305781 h 5421568"/>
            <a:gd name="csX6" fmla="*/ 3282051 w 4199464"/>
            <a:gd name="csY6" fmla="*/ 5002468 h 5421568"/>
            <a:gd name="csX7" fmla="*/ 4033160 w 4199464"/>
            <a:gd name="csY7" fmla="*/ 5421568 h 5421568"/>
            <a:gd name="csX8" fmla="*/ 0 w 4199464"/>
            <a:gd name="csY8" fmla="*/ 5388911 h 5421568"/>
            <a:gd name="csX0" fmla="*/ 0 w 4199464"/>
            <a:gd name="csY0" fmla="*/ 5388911 h 5421568"/>
            <a:gd name="csX1" fmla="*/ 3 w 4199464"/>
            <a:gd name="csY1" fmla="*/ 114782 h 5421568"/>
            <a:gd name="csX2" fmla="*/ 549739 w 4199464"/>
            <a:gd name="csY2" fmla="*/ 1736752 h 5421568"/>
            <a:gd name="csX3" fmla="*/ 1551214 w 4199464"/>
            <a:gd name="csY3" fmla="*/ 2281039 h 5421568"/>
            <a:gd name="csX4" fmla="*/ 2498274 w 4199464"/>
            <a:gd name="csY4" fmla="*/ 4305781 h 5421568"/>
            <a:gd name="csX5" fmla="*/ 3282051 w 4199464"/>
            <a:gd name="csY5" fmla="*/ 5002468 h 5421568"/>
            <a:gd name="csX6" fmla="*/ 4033160 w 4199464"/>
            <a:gd name="csY6" fmla="*/ 5421568 h 5421568"/>
            <a:gd name="csX7" fmla="*/ 0 w 4199464"/>
            <a:gd name="csY7" fmla="*/ 5388911 h 5421568"/>
            <a:gd name="csX0" fmla="*/ 0 w 4103995"/>
            <a:gd name="csY0" fmla="*/ 5388911 h 5421568"/>
            <a:gd name="csX1" fmla="*/ 3 w 4103995"/>
            <a:gd name="csY1" fmla="*/ 114782 h 5421568"/>
            <a:gd name="csX2" fmla="*/ 549739 w 4103995"/>
            <a:gd name="csY2" fmla="*/ 1736752 h 5421568"/>
            <a:gd name="csX3" fmla="*/ 1551214 w 4103995"/>
            <a:gd name="csY3" fmla="*/ 2281039 h 5421568"/>
            <a:gd name="csX4" fmla="*/ 2498274 w 4103995"/>
            <a:gd name="csY4" fmla="*/ 4305781 h 5421568"/>
            <a:gd name="csX5" fmla="*/ 4033160 w 4103995"/>
            <a:gd name="csY5" fmla="*/ 5421568 h 5421568"/>
            <a:gd name="csX6" fmla="*/ 0 w 4103995"/>
            <a:gd name="csY6" fmla="*/ 5388911 h 5421568"/>
            <a:gd name="csX0" fmla="*/ 0 w 4099339"/>
            <a:gd name="csY0" fmla="*/ 5388911 h 5421568"/>
            <a:gd name="csX1" fmla="*/ 3 w 4099339"/>
            <a:gd name="csY1" fmla="*/ 114782 h 5421568"/>
            <a:gd name="csX2" fmla="*/ 549739 w 4099339"/>
            <a:gd name="csY2" fmla="*/ 1736752 h 5421568"/>
            <a:gd name="csX3" fmla="*/ 1551214 w 4099339"/>
            <a:gd name="csY3" fmla="*/ 2281039 h 5421568"/>
            <a:gd name="csX4" fmla="*/ 2367649 w 4099339"/>
            <a:gd name="csY4" fmla="*/ 4490838 h 5421568"/>
            <a:gd name="csX5" fmla="*/ 4033160 w 4099339"/>
            <a:gd name="csY5" fmla="*/ 5421568 h 5421568"/>
            <a:gd name="csX6" fmla="*/ 0 w 4099339"/>
            <a:gd name="csY6" fmla="*/ 5388911 h 5421568"/>
            <a:gd name="csX0" fmla="*/ 0 w 4096390"/>
            <a:gd name="csY0" fmla="*/ 5390486 h 5423143"/>
            <a:gd name="csX1" fmla="*/ 3 w 4096390"/>
            <a:gd name="csY1" fmla="*/ 116357 h 5423143"/>
            <a:gd name="csX2" fmla="*/ 549739 w 4096390"/>
            <a:gd name="csY2" fmla="*/ 1738327 h 5423143"/>
            <a:gd name="csX3" fmla="*/ 2128160 w 4096390"/>
            <a:gd name="csY3" fmla="*/ 2478557 h 5423143"/>
            <a:gd name="csX4" fmla="*/ 2367649 w 4096390"/>
            <a:gd name="csY4" fmla="*/ 4492413 h 5423143"/>
            <a:gd name="csX5" fmla="*/ 4033160 w 4096390"/>
            <a:gd name="csY5" fmla="*/ 5423143 h 5423143"/>
            <a:gd name="csX6" fmla="*/ 0 w 4096390"/>
            <a:gd name="csY6" fmla="*/ 5390486 h 5423143"/>
            <a:gd name="csX0" fmla="*/ 0 w 4096390"/>
            <a:gd name="csY0" fmla="*/ 5404937 h 5437594"/>
            <a:gd name="csX1" fmla="*/ 3 w 4096390"/>
            <a:gd name="csY1" fmla="*/ 130808 h 5437594"/>
            <a:gd name="csX2" fmla="*/ 549742 w 4096390"/>
            <a:gd name="csY2" fmla="*/ 1502407 h 5437594"/>
            <a:gd name="csX3" fmla="*/ 2128160 w 4096390"/>
            <a:gd name="csY3" fmla="*/ 2493008 h 5437594"/>
            <a:gd name="csX4" fmla="*/ 2367649 w 4096390"/>
            <a:gd name="csY4" fmla="*/ 4506864 h 5437594"/>
            <a:gd name="csX5" fmla="*/ 4033160 w 4096390"/>
            <a:gd name="csY5" fmla="*/ 5437594 h 5437594"/>
            <a:gd name="csX6" fmla="*/ 0 w 4096390"/>
            <a:gd name="csY6" fmla="*/ 5404937 h 5437594"/>
            <a:gd name="csX0" fmla="*/ 0 w 4098758"/>
            <a:gd name="csY0" fmla="*/ 5406270 h 5438927"/>
            <a:gd name="csX1" fmla="*/ 3 w 4098758"/>
            <a:gd name="csY1" fmla="*/ 132141 h 5438927"/>
            <a:gd name="csX2" fmla="*/ 549742 w 4098758"/>
            <a:gd name="csY2" fmla="*/ 1503740 h 5438927"/>
            <a:gd name="csX3" fmla="*/ 1661087 w 4098758"/>
            <a:gd name="csY3" fmla="*/ 2624271 h 5438927"/>
            <a:gd name="csX4" fmla="*/ 2367649 w 4098758"/>
            <a:gd name="csY4" fmla="*/ 4508197 h 5438927"/>
            <a:gd name="csX5" fmla="*/ 4033160 w 4098758"/>
            <a:gd name="csY5" fmla="*/ 5438927 h 5438927"/>
            <a:gd name="csX6" fmla="*/ 0 w 4098758"/>
            <a:gd name="csY6" fmla="*/ 5406270 h 5438927"/>
            <a:gd name="csX0" fmla="*/ 0 w 4095233"/>
            <a:gd name="csY0" fmla="*/ 5406270 h 5438927"/>
            <a:gd name="csX1" fmla="*/ 3 w 4095233"/>
            <a:gd name="csY1" fmla="*/ 132141 h 5438927"/>
            <a:gd name="csX2" fmla="*/ 549742 w 4095233"/>
            <a:gd name="csY2" fmla="*/ 1503740 h 5438927"/>
            <a:gd name="csX3" fmla="*/ 1661087 w 4095233"/>
            <a:gd name="csY3" fmla="*/ 2624271 h 5438927"/>
            <a:gd name="csX4" fmla="*/ 2254035 w 4095233"/>
            <a:gd name="csY4" fmla="*/ 4716086 h 5438927"/>
            <a:gd name="csX5" fmla="*/ 4033160 w 4095233"/>
            <a:gd name="csY5" fmla="*/ 5438927 h 5438927"/>
            <a:gd name="csX6" fmla="*/ 0 w 4095233"/>
            <a:gd name="csY6" fmla="*/ 5406270 h 5438927"/>
            <a:gd name="csX0" fmla="*/ 0 w 4095233"/>
            <a:gd name="csY0" fmla="*/ 5402926 h 5435583"/>
            <a:gd name="csX1" fmla="*/ 3 w 4095233"/>
            <a:gd name="csY1" fmla="*/ 128797 h 5435583"/>
            <a:gd name="csX2" fmla="*/ 915830 w 4095233"/>
            <a:gd name="csY2" fmla="*/ 1552367 h 5435583"/>
            <a:gd name="csX3" fmla="*/ 1661087 w 4095233"/>
            <a:gd name="csY3" fmla="*/ 2620927 h 5435583"/>
            <a:gd name="csX4" fmla="*/ 2254035 w 4095233"/>
            <a:gd name="csY4" fmla="*/ 4712742 h 5435583"/>
            <a:gd name="csX5" fmla="*/ 4033160 w 4095233"/>
            <a:gd name="csY5" fmla="*/ 5435583 h 5435583"/>
            <a:gd name="csX6" fmla="*/ 0 w 4095233"/>
            <a:gd name="csY6" fmla="*/ 5402926 h 5435583"/>
            <a:gd name="csX0" fmla="*/ 0 w 4095233"/>
            <a:gd name="csY0" fmla="*/ 5400655 h 5433312"/>
            <a:gd name="csX1" fmla="*/ 3 w 4095233"/>
            <a:gd name="csY1" fmla="*/ 126526 h 5433312"/>
            <a:gd name="csX2" fmla="*/ 9158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0655 h 5433312"/>
            <a:gd name="csX1" fmla="*/ 3 w 4095233"/>
            <a:gd name="csY1" fmla="*/ 126526 h 5433312"/>
            <a:gd name="csX2" fmla="*/ 701230 w 4095233"/>
            <a:gd name="csY2" fmla="*/ 1550096 h 5433312"/>
            <a:gd name="csX3" fmla="*/ 1661087 w 4095233"/>
            <a:gd name="csY3" fmla="*/ 2618656 h 5433312"/>
            <a:gd name="csX4" fmla="*/ 2254035 w 4095233"/>
            <a:gd name="csY4" fmla="*/ 4710471 h 5433312"/>
            <a:gd name="csX5" fmla="*/ 4033160 w 4095233"/>
            <a:gd name="csY5" fmla="*/ 5433312 h 5433312"/>
            <a:gd name="csX6" fmla="*/ 0 w 4095233"/>
            <a:gd name="csY6" fmla="*/ 5400655 h 5433312"/>
            <a:gd name="csX0" fmla="*/ 0 w 4095233"/>
            <a:gd name="csY0" fmla="*/ 5405565 h 5438222"/>
            <a:gd name="csX1" fmla="*/ 3 w 4095233"/>
            <a:gd name="csY1" fmla="*/ 131436 h 5438222"/>
            <a:gd name="csX2" fmla="*/ 574997 w 4095233"/>
            <a:gd name="csY2" fmla="*/ 1477048 h 5438222"/>
            <a:gd name="csX3" fmla="*/ 1661087 w 4095233"/>
            <a:gd name="csY3" fmla="*/ 2623566 h 5438222"/>
            <a:gd name="csX4" fmla="*/ 2254035 w 4095233"/>
            <a:gd name="csY4" fmla="*/ 4715381 h 5438222"/>
            <a:gd name="csX5" fmla="*/ 4033160 w 4095233"/>
            <a:gd name="csY5" fmla="*/ 5438222 h 5438222"/>
            <a:gd name="csX6" fmla="*/ 0 w 4095233"/>
            <a:gd name="csY6" fmla="*/ 5405565 h 5438222"/>
            <a:gd name="csX0" fmla="*/ 0 w 4095233"/>
            <a:gd name="csY0" fmla="*/ 5411394 h 5444051"/>
            <a:gd name="csX1" fmla="*/ 3 w 4095233"/>
            <a:gd name="csY1" fmla="*/ 137265 h 5444051"/>
            <a:gd name="csX2" fmla="*/ 574997 w 4095233"/>
            <a:gd name="csY2" fmla="*/ 1482877 h 5444051"/>
            <a:gd name="csX3" fmla="*/ 1661087 w 4095233"/>
            <a:gd name="csY3" fmla="*/ 2629395 h 5444051"/>
            <a:gd name="csX4" fmla="*/ 2254035 w 4095233"/>
            <a:gd name="csY4" fmla="*/ 4721210 h 5444051"/>
            <a:gd name="csX5" fmla="*/ 4033160 w 4095233"/>
            <a:gd name="csY5" fmla="*/ 5444051 h 5444051"/>
            <a:gd name="csX6" fmla="*/ 0 w 4095233"/>
            <a:gd name="csY6" fmla="*/ 5411394 h 5444051"/>
            <a:gd name="csX0" fmla="*/ 0 w 4151052"/>
            <a:gd name="csY0" fmla="*/ 5411395 h 5470729"/>
            <a:gd name="csX1" fmla="*/ 3 w 4151052"/>
            <a:gd name="csY1" fmla="*/ 137266 h 5470729"/>
            <a:gd name="csX2" fmla="*/ 574997 w 4151052"/>
            <a:gd name="csY2" fmla="*/ 1482878 h 5470729"/>
            <a:gd name="csX3" fmla="*/ 1661087 w 4151052"/>
            <a:gd name="csY3" fmla="*/ 2629396 h 5470729"/>
            <a:gd name="csX4" fmla="*/ 2254035 w 4151052"/>
            <a:gd name="csY4" fmla="*/ 4721211 h 5470729"/>
            <a:gd name="csX5" fmla="*/ 4090358 w 4151052"/>
            <a:gd name="csY5" fmla="*/ 5470729 h 5470729"/>
            <a:gd name="csX6" fmla="*/ 0 w 4151052"/>
            <a:gd name="csY6" fmla="*/ 5411395 h 5470729"/>
            <a:gd name="csX0" fmla="*/ 0 w 4090358"/>
            <a:gd name="csY0" fmla="*/ 5411395 h 5470729"/>
            <a:gd name="csX1" fmla="*/ 3 w 4090358"/>
            <a:gd name="csY1" fmla="*/ 137266 h 5470729"/>
            <a:gd name="csX2" fmla="*/ 574997 w 4090358"/>
            <a:gd name="csY2" fmla="*/ 1482878 h 5470729"/>
            <a:gd name="csX3" fmla="*/ 1661087 w 4090358"/>
            <a:gd name="csY3" fmla="*/ 2629396 h 5470729"/>
            <a:gd name="csX4" fmla="*/ 2254035 w 4090358"/>
            <a:gd name="csY4" fmla="*/ 4721211 h 5470729"/>
            <a:gd name="csX5" fmla="*/ 4090358 w 4090358"/>
            <a:gd name="csY5" fmla="*/ 5470729 h 5470729"/>
            <a:gd name="csX6" fmla="*/ 0 w 4090358"/>
            <a:gd name="csY6" fmla="*/ 5411395 h 547072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</a:cxnLst>
          <a:rect l="l" t="t" r="r" b="b"/>
          <a:pathLst>
            <a:path w="4090358" h="5470729">
              <a:moveTo>
                <a:pt x="0" y="5411395"/>
              </a:moveTo>
              <a:lnTo>
                <a:pt x="3" y="137266"/>
              </a:lnTo>
              <a:cubicBezTo>
                <a:pt x="102512" y="-451470"/>
                <a:pt x="197164" y="1015551"/>
                <a:pt x="574997" y="1482878"/>
              </a:cubicBezTo>
              <a:cubicBezTo>
                <a:pt x="952830" y="1950205"/>
                <a:pt x="1381247" y="2089674"/>
                <a:pt x="1661087" y="2629396"/>
              </a:cubicBezTo>
              <a:cubicBezTo>
                <a:pt x="1940927" y="3169118"/>
                <a:pt x="1849157" y="4247656"/>
                <a:pt x="2254035" y="4721211"/>
              </a:cubicBezTo>
              <a:cubicBezTo>
                <a:pt x="2658913" y="5194766"/>
                <a:pt x="3321954" y="5270199"/>
                <a:pt x="4090358" y="5470729"/>
              </a:cubicBezTo>
              <a:lnTo>
                <a:pt x="0" y="5411395"/>
              </a:lnTo>
              <a:close/>
            </a:path>
          </a:pathLst>
        </a:custGeom>
        <a:gradFill flip="none" rotWithShape="1">
          <a:gsLst>
            <a:gs pos="97000">
              <a:schemeClr val="accent1">
                <a:lumMod val="75000"/>
              </a:schemeClr>
            </a:gs>
            <a:gs pos="44000">
              <a:schemeClr val="accent1">
                <a:lumMod val="60000"/>
                <a:lumOff val="40000"/>
              </a:schemeClr>
            </a:gs>
            <a:gs pos="4000">
              <a:srgbClr val="062542"/>
            </a:gs>
          </a:gsLst>
          <a:lin ang="81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63500" h="31750" prst="softRound"/>
          <a:bevelB w="25400" h="25400"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n-IN" sz="14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19471</xdr:colOff>
      <xdr:row>15</xdr:row>
      <xdr:rowOff>186</xdr:rowOff>
    </xdr:from>
    <xdr:to>
      <xdr:col>14</xdr:col>
      <xdr:colOff>504366</xdr:colOff>
      <xdr:row>40</xdr:row>
      <xdr:rowOff>39598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5CD99-5156-44D8-76A4-B62D62F5314E}"/>
            </a:ext>
          </a:extLst>
        </xdr:cNvPr>
        <xdr:cNvSpPr/>
      </xdr:nvSpPr>
      <xdr:spPr>
        <a:xfrm>
          <a:off x="4070610" y="2749173"/>
          <a:ext cx="5886414" cy="4621058"/>
        </a:xfrm>
        <a:prstGeom prst="roundRect">
          <a:avLst/>
        </a:prstGeom>
        <a:gradFill flip="none" rotWithShape="1">
          <a:gsLst>
            <a:gs pos="80000">
              <a:schemeClr val="accent1">
                <a:lumMod val="75000"/>
              </a:schemeClr>
            </a:gs>
            <a:gs pos="40000">
              <a:schemeClr val="tx2">
                <a:lumMod val="50000"/>
                <a:lumOff val="50000"/>
              </a:schemeClr>
            </a:gs>
            <a:gs pos="9000">
              <a:schemeClr val="tx2">
                <a:lumMod val="25000"/>
                <a:lumOff val="75000"/>
              </a:schemeClr>
            </a:gs>
          </a:gsLst>
          <a:lin ang="13500000" scaled="1"/>
          <a:tileRect/>
        </a:gradFill>
        <a:ln w="9525" cap="rnd" cmpd="sng">
          <a:solidFill>
            <a:schemeClr val="tx2">
              <a:lumMod val="90000"/>
              <a:lumOff val="10000"/>
            </a:schemeClr>
          </a:solidFill>
          <a:round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  <a:effectLst>
          <a:glow rad="50800">
            <a:schemeClr val="accent4">
              <a:satMod val="175000"/>
              <a:alpha val="54000"/>
            </a:schemeClr>
          </a:glow>
          <a:softEdge rad="88900"/>
        </a:effectLst>
        <a:scene3d>
          <a:camera prst="perspectiveFront"/>
          <a:lightRig rig="threePt" dir="t"/>
        </a:scene3d>
        <a:sp3d extrusionH="152400" contourW="38100" prstMaterial="dkEdge">
          <a:bevelT prst="angle"/>
          <a:bevelB w="139700" h="133350" prst="angle"/>
          <a:extrusionClr>
            <a:schemeClr val="tx2">
              <a:lumMod val="90000"/>
              <a:lumOff val="10000"/>
            </a:schemeClr>
          </a:extrusionClr>
          <a:contourClr>
            <a:schemeClr val="tx2">
              <a:lumMod val="90000"/>
              <a:lumOff val="10000"/>
            </a:schemeClr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I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200244</xdr:colOff>
      <xdr:row>16</xdr:row>
      <xdr:rowOff>66672</xdr:rowOff>
    </xdr:from>
    <xdr:to>
      <xdr:col>12</xdr:col>
      <xdr:colOff>232638</xdr:colOff>
      <xdr:row>18</xdr:row>
      <xdr:rowOff>153461</xdr:rowOff>
    </xdr:to>
    <xdr:sp macro="" textlink="">
      <xdr:nvSpPr>
        <xdr:cNvPr id="3" name="Flowchart: Terminator 2">
          <a:extLst>
            <a:ext uri="{FF2B5EF4-FFF2-40B4-BE49-F238E27FC236}">
              <a16:creationId xmlns:a16="http://schemas.microsoft.com/office/drawing/2014/main" id="{FDE443A2-A8C7-60EC-39D5-89A109A66829}"/>
            </a:ext>
          </a:extLst>
        </xdr:cNvPr>
        <xdr:cNvSpPr/>
      </xdr:nvSpPr>
      <xdr:spPr>
        <a:xfrm>
          <a:off x="5077044" y="3027586"/>
          <a:ext cx="2470794" cy="456904"/>
        </a:xfrm>
        <a:prstGeom prst="flowChartTerminator">
          <a:avLst/>
        </a:prstGeom>
        <a:gradFill flip="none" rotWithShape="1">
          <a:gsLst>
            <a:gs pos="0">
              <a:schemeClr val="tx2">
                <a:lumMod val="50000"/>
                <a:lumOff val="50000"/>
              </a:schemeClr>
            </a:gs>
            <a:gs pos="87000">
              <a:schemeClr val="accent3">
                <a:lumMod val="20000"/>
                <a:lumOff val="80000"/>
              </a:schemeClr>
            </a:gs>
            <a:gs pos="100000">
              <a:schemeClr val="tx2">
                <a:lumMod val="75000"/>
                <a:lumOff val="25000"/>
              </a:schemeClr>
            </a:gs>
          </a:gsLst>
          <a:lin ang="2700000" scaled="1"/>
          <a:tileRect/>
        </a:gradFill>
        <a:ln>
          <a:noFill/>
        </a:ln>
        <a:effectLst>
          <a:glow rad="139700">
            <a:schemeClr val="accent2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>
              <a:solidFill>
                <a:schemeClr val="tx2">
                  <a:lumMod val="90000"/>
                  <a:lumOff val="10000"/>
                </a:schemeClr>
              </a:solidFill>
              <a:latin typeface="Bodoni MT" panose="02070603080606020203" pitchFamily="18" charset="0"/>
            </a:rPr>
            <a:t>Main</a:t>
          </a:r>
          <a:r>
            <a:rPr lang="en-IN" sz="2400" baseline="0">
              <a:solidFill>
                <a:schemeClr val="tx2">
                  <a:lumMod val="90000"/>
                  <a:lumOff val="10000"/>
                </a:schemeClr>
              </a:solidFill>
              <a:latin typeface="Bodoni MT" panose="02070603080606020203" pitchFamily="18" charset="0"/>
            </a:rPr>
            <a:t> Menu</a:t>
          </a:r>
          <a:endParaRPr lang="en-IN" sz="2400">
            <a:solidFill>
              <a:schemeClr val="tx2">
                <a:lumMod val="90000"/>
                <a:lumOff val="10000"/>
              </a:schemeClr>
            </a:solidFill>
            <a:latin typeface="Bodoni MT" panose="02070603080606020203" pitchFamily="18" charset="0"/>
          </a:endParaRPr>
        </a:p>
      </xdr:txBody>
    </xdr:sp>
    <xdr:clientData/>
  </xdr:twoCellAnchor>
  <xdr:twoCellAnchor>
    <xdr:from>
      <xdr:col>1</xdr:col>
      <xdr:colOff>609592</xdr:colOff>
      <xdr:row>7</xdr:row>
      <xdr:rowOff>108854</xdr:rowOff>
    </xdr:from>
    <xdr:to>
      <xdr:col>5</xdr:col>
      <xdr:colOff>522507</xdr:colOff>
      <xdr:row>12</xdr:row>
      <xdr:rowOff>87082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A2593680-85BD-1076-968B-FEE5911FCA80}"/>
            </a:ext>
          </a:extLst>
        </xdr:cNvPr>
        <xdr:cNvGrpSpPr/>
      </xdr:nvGrpSpPr>
      <xdr:grpSpPr>
        <a:xfrm>
          <a:off x="1276342" y="1375679"/>
          <a:ext cx="2579915" cy="883103"/>
          <a:chOff x="1277518" y="1360039"/>
          <a:chExt cx="2584619" cy="871932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F936AB31-CBEE-D374-2958-46461C8A84D8}"/>
              </a:ext>
            </a:extLst>
          </xdr:cNvPr>
          <xdr:cNvSpPr/>
        </xdr:nvSpPr>
        <xdr:spPr>
          <a:xfrm>
            <a:off x="1277518" y="1360039"/>
            <a:ext cx="2584619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Total</a:t>
            </a:r>
            <a:r>
              <a:rPr lang="en-US" sz="12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 </a:t>
            </a:r>
            <a:r>
              <a:rPr lang="en-US" sz="14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Students</a:t>
            </a:r>
            <a:endParaRPr lang="en-US" sz="2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6">
        <xdr:nvSpPr>
          <xdr:cNvPr id="45" name="TextBox 44">
            <a:extLst>
              <a:ext uri="{FF2B5EF4-FFF2-40B4-BE49-F238E27FC236}">
                <a16:creationId xmlns:a16="http://schemas.microsoft.com/office/drawing/2014/main" id="{68B48584-1EC8-9D7B-F1FC-5FBE1433B184}"/>
              </a:ext>
            </a:extLst>
          </xdr:cNvPr>
          <xdr:cNvSpPr txBox="1"/>
        </xdr:nvSpPr>
        <xdr:spPr>
          <a:xfrm>
            <a:off x="2091808" y="1645956"/>
            <a:ext cx="721006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325834D6-071F-4D92-89D7-0F4B47FD0E66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113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10</xdr:col>
      <xdr:colOff>346867</xdr:colOff>
      <xdr:row>7</xdr:row>
      <xdr:rowOff>108854</xdr:rowOff>
    </xdr:from>
    <xdr:to>
      <xdr:col>14</xdr:col>
      <xdr:colOff>259782</xdr:colOff>
      <xdr:row>12</xdr:row>
      <xdr:rowOff>87082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62D04D72-8670-05E4-71E5-6E425E070CB6}"/>
            </a:ext>
          </a:extLst>
        </xdr:cNvPr>
        <xdr:cNvGrpSpPr/>
      </xdr:nvGrpSpPr>
      <xdr:grpSpPr>
        <a:xfrm>
          <a:off x="7014367" y="1375679"/>
          <a:ext cx="2579915" cy="883103"/>
          <a:chOff x="7060245" y="1360039"/>
          <a:chExt cx="2584619" cy="871932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9CC00830-7920-4868-A092-D1B7D445376E}"/>
              </a:ext>
            </a:extLst>
          </xdr:cNvPr>
          <xdr:cNvSpPr/>
        </xdr:nvSpPr>
        <xdr:spPr>
          <a:xfrm>
            <a:off x="7060245" y="1360039"/>
            <a:ext cx="2584619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today's out</a:t>
            </a:r>
            <a:endParaRPr lang="en-US" sz="2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8">
        <xdr:nvSpPr>
          <xdr:cNvPr id="25" name="TextBox 24">
            <a:extLst>
              <a:ext uri="{FF2B5EF4-FFF2-40B4-BE49-F238E27FC236}">
                <a16:creationId xmlns:a16="http://schemas.microsoft.com/office/drawing/2014/main" id="{2F3DE4D0-E526-435F-B9A0-64360B1169DF}"/>
              </a:ext>
            </a:extLst>
          </xdr:cNvPr>
          <xdr:cNvSpPr txBox="1"/>
        </xdr:nvSpPr>
        <xdr:spPr>
          <a:xfrm>
            <a:off x="7906458" y="1663292"/>
            <a:ext cx="729541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27AB772E-A3AF-4F0F-BE47-6D7857D1ED84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4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14</xdr:col>
      <xdr:colOff>576936</xdr:colOff>
      <xdr:row>7</xdr:row>
      <xdr:rowOff>119740</xdr:rowOff>
    </xdr:from>
    <xdr:to>
      <xdr:col>22</xdr:col>
      <xdr:colOff>446308</xdr:colOff>
      <xdr:row>12</xdr:row>
      <xdr:rowOff>97968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ACC4E20D-9341-5FB9-0C82-BE601A7D4DB0}"/>
            </a:ext>
          </a:extLst>
        </xdr:cNvPr>
        <xdr:cNvGrpSpPr/>
      </xdr:nvGrpSpPr>
      <xdr:grpSpPr>
        <a:xfrm>
          <a:off x="9911436" y="1386565"/>
          <a:ext cx="2593522" cy="883103"/>
          <a:chOff x="9927899" y="1370925"/>
          <a:chExt cx="2597520" cy="871932"/>
        </a:xfrm>
      </xdr:grpSpPr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ECA56924-63A0-48A0-AB81-47EC96C02C1A}"/>
              </a:ext>
            </a:extLst>
          </xdr:cNvPr>
          <xdr:cNvSpPr/>
        </xdr:nvSpPr>
        <xdr:spPr>
          <a:xfrm>
            <a:off x="9927899" y="1370925"/>
            <a:ext cx="2597520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today's Entry's </a:t>
            </a:r>
            <a:endParaRPr lang="en-IN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  <xdr:sp macro="" textlink="Dashboard!B59">
        <xdr:nvSpPr>
          <xdr:cNvPr id="26" name="TextBox 25">
            <a:extLst>
              <a:ext uri="{FF2B5EF4-FFF2-40B4-BE49-F238E27FC236}">
                <a16:creationId xmlns:a16="http://schemas.microsoft.com/office/drawing/2014/main" id="{D1B88C75-D080-4BD7-A9D4-896D50F70CF2}"/>
              </a:ext>
            </a:extLst>
          </xdr:cNvPr>
          <xdr:cNvSpPr txBox="1"/>
        </xdr:nvSpPr>
        <xdr:spPr>
          <a:xfrm>
            <a:off x="10779915" y="1656840"/>
            <a:ext cx="885270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6E30BBA7-3CEE-4403-A257-133F776125E4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8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6</xdr:col>
      <xdr:colOff>139077</xdr:colOff>
      <xdr:row>7</xdr:row>
      <xdr:rowOff>119740</xdr:rowOff>
    </xdr:from>
    <xdr:to>
      <xdr:col>10</xdr:col>
      <xdr:colOff>51992</xdr:colOff>
      <xdr:row>12</xdr:row>
      <xdr:rowOff>97968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42E24EA-6731-FF6A-8808-B701DFCD77CD}"/>
            </a:ext>
          </a:extLst>
        </xdr:cNvPr>
        <xdr:cNvGrpSpPr/>
      </xdr:nvGrpSpPr>
      <xdr:grpSpPr>
        <a:xfrm>
          <a:off x="4139577" y="1386565"/>
          <a:ext cx="2579915" cy="883103"/>
          <a:chOff x="4203498" y="1370925"/>
          <a:chExt cx="2584618" cy="871932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FF01AB20-A204-4716-9F87-590D6E6452D1}"/>
              </a:ext>
            </a:extLst>
          </xdr:cNvPr>
          <xdr:cNvSpPr/>
        </xdr:nvSpPr>
        <xdr:spPr>
          <a:xfrm>
            <a:off x="4203498" y="1370925"/>
            <a:ext cx="2584618" cy="871932"/>
          </a:xfrm>
          <a:prstGeom prst="roundRect">
            <a:avLst/>
          </a:prstGeom>
          <a:gradFill flip="none" rotWithShape="1">
            <a:gsLst>
              <a:gs pos="64000">
                <a:srgbClr val="0EA7EC"/>
              </a:gs>
              <a:gs pos="90000">
                <a:srgbClr val="45C2E9"/>
              </a:gs>
              <a:gs pos="15000">
                <a:srgbClr val="062542"/>
              </a:gs>
            </a:gsLst>
            <a:lin ang="5400000" scaled="1"/>
            <a:tileRect/>
          </a:gradFill>
          <a:ln/>
          <a:effectLst>
            <a:glow rad="101600">
              <a:schemeClr val="accent4">
                <a:satMod val="175000"/>
                <a:alpha val="40000"/>
              </a:schemeClr>
            </a:glow>
          </a:effectLst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Today's</a:t>
            </a:r>
            <a:r>
              <a:rPr lang="en-US" sz="14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rPr>
              <a:t> in </a:t>
            </a:r>
            <a:endParaRPr lang="en-US" sz="2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7">
        <xdr:nvSpPr>
          <xdr:cNvPr id="27" name="TextBox 26">
            <a:extLst>
              <a:ext uri="{FF2B5EF4-FFF2-40B4-BE49-F238E27FC236}">
                <a16:creationId xmlns:a16="http://schemas.microsoft.com/office/drawing/2014/main" id="{CFBA0E6F-1787-415E-981C-4E24FC529892}"/>
              </a:ext>
            </a:extLst>
          </xdr:cNvPr>
          <xdr:cNvSpPr txBox="1"/>
        </xdr:nvSpPr>
        <xdr:spPr>
          <a:xfrm>
            <a:off x="5027719" y="1644476"/>
            <a:ext cx="757835" cy="422791"/>
          </a:xfrm>
          <a:prstGeom prst="rect">
            <a:avLst/>
          </a:prstGeom>
          <a:noFill/>
          <a:ln>
            <a:noFill/>
          </a:ln>
          <a:effectLst>
            <a:glow rad="63500">
              <a:schemeClr val="accent1">
                <a:satMod val="175000"/>
                <a:alpha val="40000"/>
              </a:schemeClr>
            </a:glow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fld id="{E2BAF56D-3B6E-4EED-A4F2-0D15A185720A}" type="TxLink">
              <a:rPr lang="en-US" sz="2000" b="1" cap="none" spc="50">
                <a:ln w="3175">
                  <a:noFill/>
                </a:ln>
                <a:solidFill>
                  <a:schemeClr val="bg1"/>
                </a:solidFill>
                <a:effectLst>
                  <a:glow rad="63500">
                    <a:schemeClr val="accent1">
                      <a:satMod val="175000"/>
                      <a:alpha val="40000"/>
                    </a:schemeClr>
                  </a:glow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astellar" panose="020A0402060406010301" pitchFamily="18" charset="0"/>
                <a:ea typeface="+mn-ea"/>
                <a:cs typeface="+mn-cs"/>
              </a:rPr>
              <a:pPr marL="0" indent="0" algn="ctr"/>
              <a:t>4</a:t>
            </a:fld>
            <a:endParaRPr lang="en-IN" sz="2000" b="1" cap="none" spc="50">
              <a:ln w="3175">
                <a:noFill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stellar" panose="020A0402060406010301" pitchFamily="18" charset="0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0</xdr:col>
      <xdr:colOff>557858</xdr:colOff>
      <xdr:row>0</xdr:row>
      <xdr:rowOff>50714</xdr:rowOff>
    </xdr:from>
    <xdr:to>
      <xdr:col>23</xdr:col>
      <xdr:colOff>403577</xdr:colOff>
      <xdr:row>6</xdr:row>
      <xdr:rowOff>13173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B3928D6B-BB54-5218-53DF-2CF98A3F21A0}"/>
            </a:ext>
          </a:extLst>
        </xdr:cNvPr>
        <xdr:cNvGrpSpPr/>
      </xdr:nvGrpSpPr>
      <xdr:grpSpPr>
        <a:xfrm>
          <a:off x="557858" y="50714"/>
          <a:ext cx="12571119" cy="1048309"/>
          <a:chOff x="557858" y="51345"/>
          <a:chExt cx="12723519" cy="1072171"/>
        </a:xfrm>
        <a:gradFill>
          <a:gsLst>
            <a:gs pos="100000">
              <a:schemeClr val="accent2">
                <a:lumMod val="60000"/>
                <a:lumOff val="40000"/>
              </a:schemeClr>
            </a:gs>
            <a:gs pos="9000">
              <a:schemeClr val="accent1">
                <a:lumMod val="45000"/>
                <a:lumOff val="55000"/>
              </a:schemeClr>
            </a:gs>
            <a:gs pos="58000">
              <a:schemeClr val="accent2">
                <a:lumMod val="60000"/>
                <a:lumOff val="40000"/>
              </a:schemeClr>
            </a:gs>
          </a:gsLst>
          <a:lin ang="5400000" scaled="1"/>
        </a:gradFill>
      </xdr:grpSpPr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5BC28923-3D3A-914D-1D0A-04A9E2B9B12D}"/>
              </a:ext>
            </a:extLst>
          </xdr:cNvPr>
          <xdr:cNvGrpSpPr/>
        </xdr:nvGrpSpPr>
        <xdr:grpSpPr>
          <a:xfrm>
            <a:off x="557858" y="51345"/>
            <a:ext cx="12723519" cy="1072171"/>
            <a:chOff x="0" y="21772"/>
            <a:chExt cx="13868400" cy="2035629"/>
          </a:xfrm>
          <a:grpFill/>
        </xdr:grpSpPr>
        <xdr:sp macro="" textlink="">
          <xdr:nvSpPr>
            <xdr:cNvPr id="16" name="Rectangle: Rounded Corners 15">
              <a:extLst>
                <a:ext uri="{FF2B5EF4-FFF2-40B4-BE49-F238E27FC236}">
                  <a16:creationId xmlns:a16="http://schemas.microsoft.com/office/drawing/2014/main" id="{EDD0585A-505E-66D7-14C4-338684547C30}"/>
                </a:ext>
              </a:extLst>
            </xdr:cNvPr>
            <xdr:cNvSpPr/>
          </xdr:nvSpPr>
          <xdr:spPr>
            <a:xfrm>
              <a:off x="0" y="21772"/>
              <a:ext cx="13868400" cy="2035629"/>
            </a:xfrm>
            <a:prstGeom prst="roundRect">
              <a:avLst/>
            </a:prstGeom>
            <a:grpFill/>
            <a:scene3d>
              <a:camera prst="orthographicFront"/>
              <a:lightRig rig="threePt" dir="t"/>
            </a:scene3d>
            <a:sp3d>
              <a:bevelT w="165100" prst="coolSlant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76257E67-BC3B-92E2-176B-129C168EAC3F}"/>
                </a:ext>
              </a:extLst>
            </xdr:cNvPr>
            <xdr:cNvSpPr txBox="1"/>
          </xdr:nvSpPr>
          <xdr:spPr>
            <a:xfrm>
              <a:off x="2920471" y="108780"/>
              <a:ext cx="8528733" cy="8683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3200">
                  <a:solidFill>
                    <a:schemeClr val="accent2">
                      <a:lumMod val="50000"/>
                    </a:schemeClr>
                  </a:solidFill>
                  <a:latin typeface="Algerian" panose="04020705040A02060702" pitchFamily="82" charset="0"/>
                </a:rPr>
                <a:t>STUDENT</a:t>
              </a:r>
              <a:r>
                <a:rPr lang="en-IN" sz="3200" baseline="0">
                  <a:solidFill>
                    <a:schemeClr val="accent2">
                      <a:lumMod val="50000"/>
                    </a:schemeClr>
                  </a:solidFill>
                  <a:latin typeface="Algerian" panose="04020705040A02060702" pitchFamily="82" charset="0"/>
                </a:rPr>
                <a:t> IN OUT management SYSTEM</a:t>
              </a:r>
              <a:endParaRPr lang="en-IN" sz="3200">
                <a:solidFill>
                  <a:schemeClr val="accent2">
                    <a:lumMod val="50000"/>
                  </a:schemeClr>
                </a:solidFill>
                <a:latin typeface="Algerian" panose="04020705040A02060702" pitchFamily="82" charset="0"/>
              </a:endParaRPr>
            </a:p>
          </xdr:txBody>
        </xdr:sp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9707BA5F-E12B-46FB-B3D6-56635296CF52}"/>
                </a:ext>
              </a:extLst>
            </xdr:cNvPr>
            <xdr:cNvSpPr txBox="1"/>
          </xdr:nvSpPr>
          <xdr:spPr>
            <a:xfrm>
              <a:off x="4052964" y="1070479"/>
              <a:ext cx="6658851" cy="54529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IN" sz="1400">
                  <a:solidFill>
                    <a:schemeClr val="accent2">
                      <a:lumMod val="50000"/>
                    </a:schemeClr>
                  </a:solidFill>
                  <a:latin typeface="Century" panose="02040604050505020304" pitchFamily="18" charset="0"/>
                  <a:cs typeface="Angsana New" panose="02020603050405020304" pitchFamily="18" charset="-34"/>
                </a:rPr>
                <a:t>Tracking Student</a:t>
              </a:r>
              <a:r>
                <a:rPr lang="en-IN" sz="1400" baseline="0">
                  <a:solidFill>
                    <a:schemeClr val="accent2">
                      <a:lumMod val="50000"/>
                    </a:schemeClr>
                  </a:solidFill>
                  <a:latin typeface="Century" panose="02040604050505020304" pitchFamily="18" charset="0"/>
                  <a:cs typeface="Angsana New" panose="02020603050405020304" pitchFamily="18" charset="-34"/>
                </a:rPr>
                <a:t> movement for safety and accountability</a:t>
              </a:r>
              <a:endParaRPr lang="en-IN" sz="1400">
                <a:solidFill>
                  <a:schemeClr val="accent2">
                    <a:lumMod val="50000"/>
                  </a:schemeClr>
                </a:solidFill>
                <a:latin typeface="Century" panose="02040604050505020304" pitchFamily="18" charset="0"/>
                <a:cs typeface="Angsana New" panose="02020603050405020304" pitchFamily="18" charset="-34"/>
              </a:endParaRPr>
            </a:p>
          </xdr:txBody>
        </xdr:sp>
      </xdr:grpSp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B78ECAA2-0F7D-3CF4-C6EA-0A87E6BAE7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8059" y="185058"/>
            <a:ext cx="838200" cy="838200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7</xdr:col>
      <xdr:colOff>476223</xdr:colOff>
      <xdr:row>22</xdr:row>
      <xdr:rowOff>105133</xdr:rowOff>
    </xdr:from>
    <xdr:to>
      <xdr:col>13</xdr:col>
      <xdr:colOff>2656</xdr:colOff>
      <xdr:row>37</xdr:row>
      <xdr:rowOff>92098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47C3C46E-6D71-0169-2A46-39A012398555}"/>
            </a:ext>
          </a:extLst>
        </xdr:cNvPr>
        <xdr:cNvGrpSpPr/>
      </xdr:nvGrpSpPr>
      <xdr:grpSpPr>
        <a:xfrm>
          <a:off x="5143473" y="4086583"/>
          <a:ext cx="3526933" cy="2701590"/>
          <a:chOff x="5189990" y="4198668"/>
          <a:chExt cx="3566806" cy="2778011"/>
        </a:xfrm>
      </xdr:grpSpPr>
      <xdr:grpSp>
        <xdr:nvGrpSpPr>
          <xdr:cNvPr id="89" name="Group 88">
            <a:extLst>
              <a:ext uri="{FF2B5EF4-FFF2-40B4-BE49-F238E27FC236}">
                <a16:creationId xmlns:a16="http://schemas.microsoft.com/office/drawing/2014/main" id="{D9F41FB2-4AC7-53D7-3D17-3BDBEE619B90}"/>
              </a:ext>
            </a:extLst>
          </xdr:cNvPr>
          <xdr:cNvGrpSpPr/>
        </xdr:nvGrpSpPr>
        <xdr:grpSpPr>
          <a:xfrm>
            <a:off x="5197912" y="4202201"/>
            <a:ext cx="1726881" cy="544757"/>
            <a:chOff x="5200524" y="4167319"/>
            <a:chExt cx="1728000" cy="540000"/>
          </a:xfrm>
        </xdr:grpSpPr>
        <xdr:sp macro="[0]!inOutStud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CD1C1852-08F2-401E-8B25-2092B281CA3E}"/>
                </a:ext>
              </a:extLst>
            </xdr:cNvPr>
            <xdr:cNvSpPr/>
          </xdr:nvSpPr>
          <xdr:spPr>
            <a:xfrm>
              <a:off x="5200524" y="4167319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IN/OUT</a:t>
              </a:r>
            </a:p>
          </xdr:txBody>
        </xdr:sp>
        <xdr:pic macro="[0]!inOutStud">
          <xdr:nvPicPr>
            <xdr:cNvPr id="29" name="Graphic 28" descr="Transfer with solid fill">
              <a:extLst>
                <a:ext uri="{FF2B5EF4-FFF2-40B4-BE49-F238E27FC236}">
                  <a16:creationId xmlns:a16="http://schemas.microsoft.com/office/drawing/2014/main" id="{961C9F49-0809-9FBF-EDC7-F5BF04C6376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5516782" y="4319966"/>
              <a:ext cx="209654" cy="21193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C5DDE897-CF1B-6A5D-2FCB-557FFD7E8A4E}"/>
              </a:ext>
            </a:extLst>
          </xdr:cNvPr>
          <xdr:cNvGrpSpPr/>
        </xdr:nvGrpSpPr>
        <xdr:grpSpPr>
          <a:xfrm>
            <a:off x="5197166" y="6431923"/>
            <a:ext cx="1726881" cy="544756"/>
            <a:chOff x="5199778" y="6378014"/>
            <a:chExt cx="1728000" cy="540000"/>
          </a:xfrm>
        </xdr:grpSpPr>
        <xdr:sp macro="[0]!ShowSheets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4D26EC9F-3E3D-D018-2DA4-6096C82DF972}"/>
                </a:ext>
              </a:extLst>
            </xdr:cNvPr>
            <xdr:cNvSpPr/>
          </xdr:nvSpPr>
          <xdr:spPr>
            <a:xfrm>
              <a:off x="5199778" y="6378014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</a:t>
              </a:r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</a:t>
              </a:r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Show sheets</a:t>
              </a:r>
            </a:p>
          </xdr:txBody>
        </xdr:sp>
        <xdr:pic macro="[0]!ShowSheets">
          <xdr:nvPicPr>
            <xdr:cNvPr id="38" name="Graphic 37" descr="Eyes with solid fill">
              <a:extLst>
                <a:ext uri="{FF2B5EF4-FFF2-40B4-BE49-F238E27FC236}">
                  <a16:creationId xmlns:a16="http://schemas.microsoft.com/office/drawing/2014/main" id="{903DACF0-4A1F-5D07-9D50-B2510309F7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5370635" y="6479797"/>
              <a:ext cx="332333" cy="334885"/>
            </a:xfrm>
            <a:prstGeom prst="rect">
              <a:avLst/>
            </a:prstGeom>
          </xdr:spPr>
        </xdr:pic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C2004A2C-2B14-6BF5-7DBF-62778FA4AE54}"/>
              </a:ext>
            </a:extLst>
          </xdr:cNvPr>
          <xdr:cNvGrpSpPr/>
        </xdr:nvGrpSpPr>
        <xdr:grpSpPr>
          <a:xfrm>
            <a:off x="7021523" y="6427894"/>
            <a:ext cx="1727254" cy="544756"/>
            <a:chOff x="7025254" y="6373985"/>
            <a:chExt cx="1728000" cy="540000"/>
          </a:xfrm>
        </xdr:grpSpPr>
        <xdr:sp macro="[0]!exitApp.exitApp" textlink="">
          <xdr:nvSpPr>
            <xdr:cNvPr id="11" name="Rectangle: Rounded Corners 10">
              <a:extLst>
                <a:ext uri="{FF2B5EF4-FFF2-40B4-BE49-F238E27FC236}">
                  <a16:creationId xmlns:a16="http://schemas.microsoft.com/office/drawing/2014/main" id="{79A1AC88-F807-60C1-E419-613FA406CA55}"/>
                </a:ext>
              </a:extLst>
            </xdr:cNvPr>
            <xdr:cNvSpPr/>
          </xdr:nvSpPr>
          <xdr:spPr>
            <a:xfrm>
              <a:off x="7025254" y="6373985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marL="0" indent="0"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Exit Application</a:t>
              </a:r>
            </a:p>
          </xdr:txBody>
        </xdr:sp>
        <xdr:pic>
          <xdr:nvPicPr>
            <xdr:cNvPr id="41" name="Graphic 40" descr="Back with solid fill">
              <a:extLst>
                <a:ext uri="{FF2B5EF4-FFF2-40B4-BE49-F238E27FC236}">
                  <a16:creationId xmlns:a16="http://schemas.microsoft.com/office/drawing/2014/main" id="{43D22A7D-2B1C-4431-5C47-9B44940DA5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7228640" y="6486632"/>
              <a:ext cx="287087" cy="29015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CF60B9B1-9196-C42F-16BC-2B0ED0EBC4BC}"/>
              </a:ext>
            </a:extLst>
          </xdr:cNvPr>
          <xdr:cNvGrpSpPr/>
        </xdr:nvGrpSpPr>
        <xdr:grpSpPr>
          <a:xfrm>
            <a:off x="7029914" y="4198668"/>
            <a:ext cx="1726882" cy="544757"/>
            <a:chOff x="7033645" y="4163786"/>
            <a:chExt cx="1728000" cy="540000"/>
          </a:xfrm>
        </xdr:grpSpPr>
        <xdr:sp macro="[0]!OpenAddStudent" textlink="">
          <xdr:nvSpPr>
            <xdr:cNvPr id="10" name="Rectangle: Rounded Corners 9">
              <a:extLst>
                <a:ext uri="{FF2B5EF4-FFF2-40B4-BE49-F238E27FC236}">
                  <a16:creationId xmlns:a16="http://schemas.microsoft.com/office/drawing/2014/main" id="{9F8CC03B-CDFC-A01A-791D-7C1C83C23471}"/>
                </a:ext>
              </a:extLst>
            </xdr:cNvPr>
            <xdr:cNvSpPr/>
          </xdr:nvSpPr>
          <xdr:spPr>
            <a:xfrm>
              <a:off x="7033645" y="4163786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Add Student</a:t>
              </a:r>
            </a:p>
          </xdr:txBody>
        </xdr:sp>
        <xdr:pic macro="[0]!OpenAddStudent">
          <xdr:nvPicPr>
            <xdr:cNvPr id="43" name="Graphic 42" descr="Close with solid fill">
              <a:extLst>
                <a:ext uri="{FF2B5EF4-FFF2-40B4-BE49-F238E27FC236}">
                  <a16:creationId xmlns:a16="http://schemas.microsoft.com/office/drawing/2014/main" id="{7FB85A8F-6BA5-8CAA-01AD-32044B4663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 rot="2580034" flipV="1">
              <a:off x="7298066" y="4311307"/>
              <a:ext cx="235581" cy="235340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F34796CD-E9E8-87C2-41D1-7E06202ACAA8}"/>
              </a:ext>
            </a:extLst>
          </xdr:cNvPr>
          <xdr:cNvGrpSpPr/>
        </xdr:nvGrpSpPr>
        <xdr:grpSpPr>
          <a:xfrm>
            <a:off x="7029532" y="5684816"/>
            <a:ext cx="1726882" cy="544756"/>
            <a:chOff x="7033263" y="5637249"/>
            <a:chExt cx="1728000" cy="540000"/>
          </a:xfrm>
        </xdr:grpSpPr>
        <xdr:sp macro="[0]!OpenExportAttendance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CA41B6DC-3E6B-4436-84E9-1CAA9FA7D301}"/>
                </a:ext>
              </a:extLst>
            </xdr:cNvPr>
            <xdr:cNvSpPr/>
          </xdr:nvSpPr>
          <xdr:spPr>
            <a:xfrm>
              <a:off x="7033263" y="5637249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Export Data</a:t>
              </a:r>
            </a:p>
          </xdr:txBody>
        </xdr:sp>
        <xdr:pic macro="[0]!OpenExportAttendance">
          <xdr:nvPicPr>
            <xdr:cNvPr id="46" name="Graphic 45" descr="Cloud Computing with solid fill">
              <a:extLst>
                <a:ext uri="{FF2B5EF4-FFF2-40B4-BE49-F238E27FC236}">
                  <a16:creationId xmlns:a16="http://schemas.microsoft.com/office/drawing/2014/main" id="{8B8C8A59-340C-C9EA-04EF-2E8E395376A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7303351" y="5756310"/>
              <a:ext cx="292585" cy="295796"/>
            </a:xfrm>
            <a:prstGeom prst="rect">
              <a:avLst/>
            </a:prstGeom>
          </xdr:spPr>
        </xdr:pic>
      </xdr:grp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C92D5BEF-AE1C-7296-7092-A470E0697D7C}"/>
              </a:ext>
            </a:extLst>
          </xdr:cNvPr>
          <xdr:cNvGrpSpPr/>
        </xdr:nvGrpSpPr>
        <xdr:grpSpPr>
          <a:xfrm>
            <a:off x="7021095" y="4945815"/>
            <a:ext cx="1727254" cy="544756"/>
            <a:chOff x="7024826" y="4904590"/>
            <a:chExt cx="1728000" cy="540000"/>
          </a:xfrm>
        </xdr:grpSpPr>
        <xdr:sp macro="[0]!OpenEditStudent" textlink="">
          <xdr:nvSpPr>
            <xdr:cNvPr id="7" name="Rectangle: Rounded Corners 6">
              <a:extLst>
                <a:ext uri="{FF2B5EF4-FFF2-40B4-BE49-F238E27FC236}">
                  <a16:creationId xmlns:a16="http://schemas.microsoft.com/office/drawing/2014/main" id="{C0708B92-448D-451C-B1A4-97328869DD41}"/>
                </a:ext>
              </a:extLst>
            </xdr:cNvPr>
            <xdr:cNvSpPr/>
          </xdr:nvSpPr>
          <xdr:spPr>
            <a:xfrm>
              <a:off x="7024826" y="4904590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Edit</a:t>
              </a:r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Student</a:t>
              </a:r>
              <a:endParaRPr lang="en-IN" sz="1000" b="1">
                <a:solidFill>
                  <a:schemeClr val="tx2">
                    <a:lumMod val="75000"/>
                    <a:lumOff val="25000"/>
                  </a:schemeClr>
                </a:solidFill>
                <a:latin typeface="Lucida Bright" panose="02040602050505020304" pitchFamily="18" charset="0"/>
                <a:ea typeface="+mn-ea"/>
                <a:cs typeface="+mn-cs"/>
              </a:endParaRPr>
            </a:p>
          </xdr:txBody>
        </xdr:sp>
        <xdr:pic macro="[0]!OpenEditStudent">
          <xdr:nvPicPr>
            <xdr:cNvPr id="50" name="Graphic 49" descr="Pencil with solid fill">
              <a:extLst>
                <a:ext uri="{FF2B5EF4-FFF2-40B4-BE49-F238E27FC236}">
                  <a16:creationId xmlns:a16="http://schemas.microsoft.com/office/drawing/2014/main" id="{9349790F-6A59-886D-4FA4-93BF321C918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7302005" y="5055989"/>
              <a:ext cx="229764" cy="232224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  <xdr:grpSp>
        <xdr:nvGrpSpPr>
          <xdr:cNvPr id="88" name="Group 87">
            <a:extLst>
              <a:ext uri="{FF2B5EF4-FFF2-40B4-BE49-F238E27FC236}">
                <a16:creationId xmlns:a16="http://schemas.microsoft.com/office/drawing/2014/main" id="{2D643328-82D5-A1A8-6C27-E0A49AB08CB3}"/>
              </a:ext>
            </a:extLst>
          </xdr:cNvPr>
          <xdr:cNvGrpSpPr/>
        </xdr:nvGrpSpPr>
        <xdr:grpSpPr>
          <a:xfrm>
            <a:off x="5195182" y="4949280"/>
            <a:ext cx="1726881" cy="544756"/>
            <a:chOff x="5197794" y="4908055"/>
            <a:chExt cx="1728000" cy="540000"/>
          </a:xfrm>
        </xdr:grpSpPr>
        <xdr:sp macro="[0]!OpenSearchStudent" textlink="">
          <xdr:nvSpPr>
            <xdr:cNvPr id="2" name="Rectangle: Rounded Corners 1">
              <a:extLst>
                <a:ext uri="{FF2B5EF4-FFF2-40B4-BE49-F238E27FC236}">
                  <a16:creationId xmlns:a16="http://schemas.microsoft.com/office/drawing/2014/main" id="{91A80002-7223-4369-B386-4EAB9B1FF01D}"/>
                </a:ext>
              </a:extLst>
            </xdr:cNvPr>
            <xdr:cNvSpPr/>
          </xdr:nvSpPr>
          <xdr:spPr>
            <a:xfrm>
              <a:off x="5197794" y="4908055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       Search Student</a:t>
              </a:r>
            </a:p>
          </xdr:txBody>
        </xdr:sp>
        <xdr:pic macro="[0]!OpenSearchStudent">
          <xdr:nvPicPr>
            <xdr:cNvPr id="52" name="Graphic 51" descr="Target Audience with solid fill">
              <a:extLst>
                <a:ext uri="{FF2B5EF4-FFF2-40B4-BE49-F238E27FC236}">
                  <a16:creationId xmlns:a16="http://schemas.microsoft.com/office/drawing/2014/main" id="{61903972-EAB8-3C4C-56E5-90C4F0E1E7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5406395" y="5044849"/>
              <a:ext cx="277694" cy="281130"/>
            </a:xfrm>
            <a:prstGeom prst="rect">
              <a:avLst/>
            </a:prstGeom>
          </xdr:spPr>
        </xdr:pic>
      </xdr:grp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D29E9B0C-7347-DF0B-9C6A-DD7731EFECAE}"/>
              </a:ext>
            </a:extLst>
          </xdr:cNvPr>
          <xdr:cNvGrpSpPr/>
        </xdr:nvGrpSpPr>
        <xdr:grpSpPr>
          <a:xfrm>
            <a:off x="5189990" y="5685951"/>
            <a:ext cx="1726881" cy="544756"/>
            <a:chOff x="5192602" y="5638384"/>
            <a:chExt cx="1728000" cy="540000"/>
          </a:xfrm>
        </xdr:grpSpPr>
        <xdr:sp macro="[0]!OpenDeleteStudent" textlink="">
          <xdr:nvSpPr>
            <xdr:cNvPr id="15" name="Rectangle: Rounded Corners 14">
              <a:extLst>
                <a:ext uri="{FF2B5EF4-FFF2-40B4-BE49-F238E27FC236}">
                  <a16:creationId xmlns:a16="http://schemas.microsoft.com/office/drawing/2014/main" id="{5A8A64DA-B160-4B30-B1DA-8E9EC1126261}"/>
                </a:ext>
              </a:extLst>
            </xdr:cNvPr>
            <xdr:cNvSpPr/>
          </xdr:nvSpPr>
          <xdr:spPr>
            <a:xfrm>
              <a:off x="5192602" y="5638384"/>
              <a:ext cx="1728000" cy="540000"/>
            </a:xfrm>
            <a:prstGeom prst="roundRect">
              <a:avLst/>
            </a:prstGeom>
            <a:gradFill flip="none" rotWithShape="1">
              <a:gsLst>
                <a:gs pos="0">
                  <a:schemeClr val="accent3">
                    <a:lumMod val="5000"/>
                    <a:lumOff val="95000"/>
                  </a:schemeClr>
                </a:gs>
                <a:gs pos="59000">
                  <a:schemeClr val="accent6">
                    <a:lumMod val="40000"/>
                    <a:lumOff val="6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>
              <a:glow rad="63500">
                <a:schemeClr val="accent1">
                  <a:satMod val="175000"/>
                  <a:alpha val="40000"/>
                </a:schemeClr>
              </a:glow>
              <a:outerShdw blurRad="254000" dist="38100" dir="2700000" sx="102000" sy="102000" algn="tl" rotWithShape="0">
                <a:schemeClr val="tx1">
                  <a:alpha val="60000"/>
                </a:schemeClr>
              </a:outerShdw>
            </a:effectLst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n-IN" sz="1000" b="1" baseline="0">
                  <a:solidFill>
                    <a:schemeClr val="tx2">
                      <a:lumMod val="75000"/>
                      <a:lumOff val="25000"/>
                    </a:schemeClr>
                  </a:solidFill>
                  <a:latin typeface="Lucida Bright" panose="02040602050505020304" pitchFamily="18" charset="0"/>
                  <a:ea typeface="+mn-ea"/>
                  <a:cs typeface="+mn-cs"/>
                </a:rPr>
                <a:t>     Delete Student</a:t>
              </a:r>
              <a:endParaRPr lang="en-IN" sz="1000" b="1">
                <a:solidFill>
                  <a:schemeClr val="tx2">
                    <a:lumMod val="75000"/>
                    <a:lumOff val="25000"/>
                  </a:schemeClr>
                </a:solidFill>
                <a:latin typeface="Lucida Bright" panose="02040602050505020304" pitchFamily="18" charset="0"/>
                <a:ea typeface="+mn-ea"/>
                <a:cs typeface="+mn-cs"/>
              </a:endParaRPr>
            </a:p>
          </xdr:txBody>
        </xdr:sp>
        <xdr:pic macro="[0]!OpenDeleteStudent">
          <xdr:nvPicPr>
            <xdr:cNvPr id="82" name="Graphic 81" descr="Close with solid fill">
              <a:extLst>
                <a:ext uri="{FF2B5EF4-FFF2-40B4-BE49-F238E27FC236}">
                  <a16:creationId xmlns:a16="http://schemas.microsoft.com/office/drawing/2014/main" id="{D05D45B0-F712-4D87-9C0D-0FE24A930AE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 rot="5400000" flipV="1">
              <a:off x="5406198" y="5783172"/>
              <a:ext cx="224699" cy="224469"/>
            </a:xfrm>
            <a:prstGeom prst="rect">
              <a:avLst/>
            </a:prstGeom>
            <a:scene3d>
              <a:camera prst="orthographicFront"/>
              <a:lightRig rig="threePt" dir="t"/>
            </a:scene3d>
            <a:sp3d>
              <a:bevelT w="152400" h="50800" prst="softRound"/>
            </a:sp3d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372705</xdr:colOff>
      <xdr:row>0</xdr:row>
      <xdr:rowOff>45720</xdr:rowOff>
    </xdr:from>
    <xdr:to>
      <xdr:col>2</xdr:col>
      <xdr:colOff>236220</xdr:colOff>
      <xdr:row>2</xdr:row>
      <xdr:rowOff>15240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6304D3CE-1E17-34D8-872D-30547774E663}"/>
            </a:ext>
          </a:extLst>
        </xdr:cNvPr>
        <xdr:cNvSpPr txBox="1"/>
      </xdr:nvSpPr>
      <xdr:spPr>
        <a:xfrm>
          <a:off x="372705" y="45720"/>
          <a:ext cx="1756483" cy="338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eaLnBrk="1" fontAlgn="auto" latinLnBrk="0" hangingPunct="1"/>
          <a:r>
            <a:rPr lang="en-IN" sz="2000">
              <a:solidFill>
                <a:srgbClr val="062542"/>
              </a:solidFill>
              <a:effectLst/>
              <a:latin typeface="Algerian" panose="04020705040A02060702" pitchFamily="82" charset="0"/>
              <a:ea typeface="+mn-ea"/>
              <a:cs typeface="+mn-cs"/>
            </a:rPr>
            <a:t>DASHBOARD</a:t>
          </a:r>
          <a:endParaRPr lang="en-IN" sz="5400">
            <a:solidFill>
              <a:srgbClr val="062542"/>
            </a:solidFill>
            <a:effectLst/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304800</xdr:colOff>
      <xdr:row>54</xdr:row>
      <xdr:rowOff>121920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E5954590-9FBA-7C70-3F6B-DA51CB310934}"/>
            </a:ext>
          </a:extLst>
        </xdr:cNvPr>
        <xdr:cNvSpPr>
          <a:spLocks noChangeAspect="1" noChangeArrowheads="1"/>
        </xdr:cNvSpPr>
      </xdr:nvSpPr>
      <xdr:spPr bwMode="auto">
        <a:xfrm>
          <a:off x="4389120" y="9692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53</xdr:row>
      <xdr:rowOff>0</xdr:rowOff>
    </xdr:from>
    <xdr:to>
      <xdr:col>6</xdr:col>
      <xdr:colOff>304800</xdr:colOff>
      <xdr:row>54</xdr:row>
      <xdr:rowOff>121920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AE8D7023-EA0F-352F-3A64-894643706AA8}"/>
            </a:ext>
          </a:extLst>
        </xdr:cNvPr>
        <xdr:cNvSpPr>
          <a:spLocks noChangeAspect="1" noChangeArrowheads="1"/>
        </xdr:cNvSpPr>
      </xdr:nvSpPr>
      <xdr:spPr bwMode="auto">
        <a:xfrm>
          <a:off x="4389120" y="9692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304800</xdr:colOff>
      <xdr:row>56</xdr:row>
      <xdr:rowOff>121920</xdr:rowOff>
    </xdr:to>
    <xdr:sp macro="" textlink="">
      <xdr:nvSpPr>
        <xdr:cNvPr id="3077" name="AutoShape 5">
          <a:extLst>
            <a:ext uri="{FF2B5EF4-FFF2-40B4-BE49-F238E27FC236}">
              <a16:creationId xmlns:a16="http://schemas.microsoft.com/office/drawing/2014/main" id="{66E203C5-FC82-E6B0-7D2A-00B1B455A43D}"/>
            </a:ext>
          </a:extLst>
        </xdr:cNvPr>
        <xdr:cNvSpPr>
          <a:spLocks noChangeAspect="1" noChangeArrowheads="1"/>
        </xdr:cNvSpPr>
      </xdr:nvSpPr>
      <xdr:spPr bwMode="auto">
        <a:xfrm>
          <a:off x="4389120" y="1005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53</xdr:row>
      <xdr:rowOff>0</xdr:rowOff>
    </xdr:from>
    <xdr:to>
      <xdr:col>14</xdr:col>
      <xdr:colOff>304800</xdr:colOff>
      <xdr:row>54</xdr:row>
      <xdr:rowOff>121920</xdr:rowOff>
    </xdr:to>
    <xdr:sp macro="" textlink="">
      <xdr:nvSpPr>
        <xdr:cNvPr id="3078" name="AutoShape 6" descr="In Sign Left Icon">
          <a:hlinkClick xmlns:r="http://schemas.openxmlformats.org/officeDocument/2006/relationships" r:id="rId1" tgtFrame="self"/>
          <a:extLst>
            <a:ext uri="{FF2B5EF4-FFF2-40B4-BE49-F238E27FC236}">
              <a16:creationId xmlns:a16="http://schemas.microsoft.com/office/drawing/2014/main" id="{715800DB-5E3A-5319-7C1A-15044F92A311}"/>
            </a:ext>
          </a:extLst>
        </xdr:cNvPr>
        <xdr:cNvSpPr>
          <a:spLocks noChangeAspect="1" noChangeArrowheads="1"/>
        </xdr:cNvSpPr>
      </xdr:nvSpPr>
      <xdr:spPr bwMode="auto">
        <a:xfrm>
          <a:off x="10172700" y="9692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477173</xdr:colOff>
      <xdr:row>3</xdr:row>
      <xdr:rowOff>174516</xdr:rowOff>
    </xdr:from>
    <xdr:to>
      <xdr:col>3</xdr:col>
      <xdr:colOff>297819</xdr:colOff>
      <xdr:row>7</xdr:row>
      <xdr:rowOff>54996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5FFD7B2-FDC9-7240-ADC0-A2F5399301E5}"/>
            </a:ext>
          </a:extLst>
        </xdr:cNvPr>
        <xdr:cNvGrpSpPr/>
      </xdr:nvGrpSpPr>
      <xdr:grpSpPr>
        <a:xfrm>
          <a:off x="1694256" y="714266"/>
          <a:ext cx="1154146" cy="600147"/>
          <a:chOff x="1696373" y="723156"/>
          <a:chExt cx="1161766" cy="612000"/>
        </a:xfrm>
      </xdr:grpSpPr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6A752A6A-EEB9-B370-9261-9E2C5C7CFB43}"/>
              </a:ext>
            </a:extLst>
          </xdr:cNvPr>
          <xdr:cNvSpPr/>
        </xdr:nvSpPr>
        <xdr:spPr>
          <a:xfrm>
            <a:off x="1696373" y="723156"/>
            <a:ext cx="972000" cy="612000"/>
          </a:xfrm>
          <a:prstGeom prst="roundRect">
            <a:avLst/>
          </a:prstGeom>
          <a:solidFill>
            <a:schemeClr val="bg1"/>
          </a:solidFill>
          <a:ln w="15875" cap="rnd" cmpd="sng">
            <a:gradFill flip="none" rotWithShape="1">
              <a:gsLst>
                <a:gs pos="16000">
                  <a:schemeClr val="accent2">
                    <a:lumMod val="40000"/>
                    <a:lumOff val="60000"/>
                  </a:schemeClr>
                </a:gs>
                <a:gs pos="56000">
                  <a:schemeClr val="accent2">
                    <a:lumMod val="75000"/>
                  </a:schemeClr>
                </a:gs>
                <a:gs pos="78000">
                  <a:schemeClr val="accent2">
                    <a:lumMod val="50000"/>
                  </a:schemeClr>
                </a:gs>
                <a:gs pos="36000">
                  <a:schemeClr val="accent2">
                    <a:lumMod val="60000"/>
                    <a:lumOff val="40000"/>
                  </a:schemeClr>
                </a:gs>
              </a:gsLst>
              <a:path path="rect">
                <a:fillToRect r="100000" b="100000"/>
              </a:path>
              <a:tileRect l="-100000" t="-100000"/>
            </a:gradFill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200" b="1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6">
        <xdr:nvSpPr>
          <xdr:cNvPr id="37" name="TextBox 36">
            <a:extLst>
              <a:ext uri="{FF2B5EF4-FFF2-40B4-BE49-F238E27FC236}">
                <a16:creationId xmlns:a16="http://schemas.microsoft.com/office/drawing/2014/main" id="{0D38F08D-459E-48F1-37A0-C59D3CDBEB61}"/>
              </a:ext>
            </a:extLst>
          </xdr:cNvPr>
          <xdr:cNvSpPr txBox="1"/>
        </xdr:nvSpPr>
        <xdr:spPr>
          <a:xfrm>
            <a:off x="2116452" y="1039404"/>
            <a:ext cx="741687" cy="230866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dk1"/>
          </a:lnRef>
          <a:fillRef idx="100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noAutofit/>
          </a:bodyPr>
          <a:lstStyle/>
          <a:p>
            <a:pPr marL="0" indent="0" algn="l"/>
            <a:fld id="{325834D6-071F-4D92-89D7-0F4B47FD0E66}" type="TxLink">
              <a:rPr lang="en-US" sz="800" b="0" cap="none" spc="0">
                <a:ln>
                  <a:noFill/>
                </a:ln>
                <a:solidFill>
                  <a:srgbClr val="00206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Palatino Linotype" panose="02040502050505030304" pitchFamily="18" charset="0"/>
                <a:ea typeface="+mn-ea"/>
                <a:cs typeface="+mn-cs"/>
              </a:rPr>
              <a:pPr marL="0" indent="0" algn="l"/>
              <a:t>113</a:t>
            </a:fld>
            <a:endParaRPr lang="en-IN" sz="800" b="0" cap="none" spc="0">
              <a:ln>
                <a:noFill/>
              </a:ln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Palatino Linotype" panose="02040502050505030304" pitchFamily="18" charset="0"/>
              <a:ea typeface="+mn-ea"/>
              <a:cs typeface="+mn-cs"/>
            </a:endParaRP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id="{395ECB7C-69EF-AA1E-CE88-B5909E714ED3}"/>
              </a:ext>
            </a:extLst>
          </xdr:cNvPr>
          <xdr:cNvSpPr txBox="1"/>
        </xdr:nvSpPr>
        <xdr:spPr>
          <a:xfrm>
            <a:off x="1724304" y="733779"/>
            <a:ext cx="939520" cy="4126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0" cap="none" spc="5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Total Students</a:t>
            </a:r>
            <a:endParaRPr lang="en-IN" sz="800" b="0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endParaRPr>
          </a:p>
          <a:p>
            <a:endParaRPr lang="en-IN" sz="800"/>
          </a:p>
        </xdr:txBody>
      </xdr:sp>
      <xdr:pic>
        <xdr:nvPicPr>
          <xdr:cNvPr id="52" name="Graphic 51" descr="Users with solid fill">
            <a:extLst>
              <a:ext uri="{FF2B5EF4-FFF2-40B4-BE49-F238E27FC236}">
                <a16:creationId xmlns:a16="http://schemas.microsoft.com/office/drawing/2014/main" id="{610C411E-BAB4-2789-5001-848C22B759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89760" y="1065441"/>
            <a:ext cx="235164" cy="204828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30244</xdr:colOff>
      <xdr:row>4</xdr:row>
      <xdr:rowOff>4532</xdr:rowOff>
    </xdr:from>
    <xdr:to>
      <xdr:col>6</xdr:col>
      <xdr:colOff>1002244</xdr:colOff>
      <xdr:row>7</xdr:row>
      <xdr:rowOff>67892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88D1EBF-5094-1A6D-4B67-3DF1C9237C3E}"/>
            </a:ext>
          </a:extLst>
        </xdr:cNvPr>
        <xdr:cNvGrpSpPr/>
      </xdr:nvGrpSpPr>
      <xdr:grpSpPr>
        <a:xfrm>
          <a:off x="4422327" y="724199"/>
          <a:ext cx="972000" cy="603110"/>
          <a:chOff x="5074684" y="469352"/>
          <a:chExt cx="972000" cy="612000"/>
        </a:xfrm>
      </xdr:grpSpPr>
      <xdr:sp macro="" textlink="">
        <xdr:nvSpPr>
          <xdr:cNvPr id="62" name="Rectangle: Rounded Corners 61">
            <a:extLst>
              <a:ext uri="{FF2B5EF4-FFF2-40B4-BE49-F238E27FC236}">
                <a16:creationId xmlns:a16="http://schemas.microsoft.com/office/drawing/2014/main" id="{0C935FE2-995A-4251-6DCE-13529C5D8F27}"/>
              </a:ext>
            </a:extLst>
          </xdr:cNvPr>
          <xdr:cNvSpPr/>
        </xdr:nvSpPr>
        <xdr:spPr>
          <a:xfrm>
            <a:off x="5074684" y="469352"/>
            <a:ext cx="972000" cy="612000"/>
          </a:xfrm>
          <a:prstGeom prst="roundRect">
            <a:avLst/>
          </a:prstGeom>
          <a:solidFill>
            <a:schemeClr val="bg1"/>
          </a:solidFill>
          <a:ln>
            <a:gradFill flip="none" rotWithShape="1">
              <a:gsLst>
                <a:gs pos="17000">
                  <a:schemeClr val="accent2">
                    <a:lumMod val="40000"/>
                    <a:lumOff val="60000"/>
                  </a:schemeClr>
                </a:gs>
                <a:gs pos="41000">
                  <a:schemeClr val="accent2">
                    <a:lumMod val="60000"/>
                    <a:lumOff val="40000"/>
                  </a:schemeClr>
                </a:gs>
                <a:gs pos="67000">
                  <a:schemeClr val="accent2">
                    <a:lumMod val="75000"/>
                  </a:schemeClr>
                </a:gs>
                <a:gs pos="90000">
                  <a:schemeClr val="accent2">
                    <a:lumMod val="50000"/>
                  </a:schemeClr>
                </a:gs>
              </a:gsLst>
              <a:path path="rect">
                <a:fillToRect r="100000" b="100000"/>
              </a:path>
              <a:tileRect l="-100000" t="-100000"/>
            </a:gra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200" b="1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8">
        <xdr:nvSpPr>
          <xdr:cNvPr id="63" name="TextBox 62">
            <a:extLst>
              <a:ext uri="{FF2B5EF4-FFF2-40B4-BE49-F238E27FC236}">
                <a16:creationId xmlns:a16="http://schemas.microsoft.com/office/drawing/2014/main" id="{BBEFDA55-6705-8619-E1EA-ACC45FAB360A}"/>
              </a:ext>
            </a:extLst>
          </xdr:cNvPr>
          <xdr:cNvSpPr txBox="1"/>
        </xdr:nvSpPr>
        <xdr:spPr>
          <a:xfrm>
            <a:off x="5513749" y="756317"/>
            <a:ext cx="368891" cy="241903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dk1"/>
          </a:lnRef>
          <a:fillRef idx="100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noAutofit/>
          </a:bodyPr>
          <a:lstStyle/>
          <a:p>
            <a:pPr marL="0" indent="0" algn="l"/>
            <a:fld id="{0EC98B96-B389-40DA-B2E0-4EFBE9B71439}" type="TxLink">
              <a:rPr lang="en-US" sz="800" b="0" cap="none" spc="0">
                <a:ln>
                  <a:noFill/>
                </a:ln>
                <a:solidFill>
                  <a:srgbClr val="00206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Palatino Linotype" panose="02040502050505030304" pitchFamily="18" charset="0"/>
                <a:ea typeface="+mn-ea"/>
                <a:cs typeface="+mn-cs"/>
              </a:rPr>
              <a:pPr marL="0" indent="0" algn="l"/>
              <a:t>4</a:t>
            </a:fld>
            <a:endParaRPr lang="en-IN" sz="800" b="0" cap="none" spc="0">
              <a:ln>
                <a:noFill/>
              </a:ln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Palatino Linotype" panose="02040502050505030304" pitchFamily="18" charset="0"/>
              <a:ea typeface="+mn-ea"/>
              <a:cs typeface="+mn-cs"/>
            </a:endParaRP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E4ED3AD5-5D9D-B6A3-4DAB-835A09CC01DB}"/>
              </a:ext>
            </a:extLst>
          </xdr:cNvPr>
          <xdr:cNvSpPr txBox="1"/>
        </xdr:nvSpPr>
        <xdr:spPr>
          <a:xfrm>
            <a:off x="5189509" y="470068"/>
            <a:ext cx="754091" cy="3986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0" cap="none" spc="5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today's</a:t>
            </a:r>
            <a:r>
              <a:rPr lang="en-US" sz="800" b="0" cap="none" spc="50" baseline="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 out</a:t>
            </a:r>
            <a:endParaRPr lang="en-IN" sz="800" b="0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endParaRPr>
          </a:p>
          <a:p>
            <a:pPr algn="ctr"/>
            <a:endParaRPr lang="en-IN" sz="800"/>
          </a:p>
        </xdr:txBody>
      </xdr:sp>
      <xdr:grpSp>
        <xdr:nvGrpSpPr>
          <xdr:cNvPr id="90" name="Group 89">
            <a:extLst>
              <a:ext uri="{FF2B5EF4-FFF2-40B4-BE49-F238E27FC236}">
                <a16:creationId xmlns:a16="http://schemas.microsoft.com/office/drawing/2014/main" id="{D28CFD19-A1BA-B66B-2D03-0D8C389FF4F1}"/>
              </a:ext>
            </a:extLst>
          </xdr:cNvPr>
          <xdr:cNvGrpSpPr/>
        </xdr:nvGrpSpPr>
        <xdr:grpSpPr>
          <a:xfrm>
            <a:off x="5282764" y="793793"/>
            <a:ext cx="173158" cy="151094"/>
            <a:chOff x="4033041" y="9071611"/>
            <a:chExt cx="886179" cy="794347"/>
          </a:xfrm>
        </xdr:grpSpPr>
        <xdr:sp macro="" textlink="">
          <xdr:nvSpPr>
            <xdr:cNvPr id="82" name="Freeform: Shape 81">
              <a:extLst>
                <a:ext uri="{FF2B5EF4-FFF2-40B4-BE49-F238E27FC236}">
                  <a16:creationId xmlns:a16="http://schemas.microsoft.com/office/drawing/2014/main" id="{87936798-C2A0-0978-18F3-3C1E90742283}"/>
                </a:ext>
              </a:extLst>
            </xdr:cNvPr>
            <xdr:cNvSpPr/>
          </xdr:nvSpPr>
          <xdr:spPr>
            <a:xfrm rot="5400000">
              <a:off x="3959614" y="9179335"/>
              <a:ext cx="760050" cy="613195"/>
            </a:xfrm>
            <a:custGeom>
              <a:avLst/>
              <a:gdLst>
                <a:gd name="csX0" fmla="*/ 364173 w 399415"/>
                <a:gd name="csY0" fmla="*/ 234950 h 270192"/>
                <a:gd name="csX1" fmla="*/ 35243 w 399415"/>
                <a:gd name="csY1" fmla="*/ 234950 h 270192"/>
                <a:gd name="csX2" fmla="*/ 35243 w 399415"/>
                <a:gd name="csY2" fmla="*/ 35243 h 270192"/>
                <a:gd name="csX3" fmla="*/ 364173 w 399415"/>
                <a:gd name="csY3" fmla="*/ 35243 h 270192"/>
                <a:gd name="csX4" fmla="*/ 364173 w 399415"/>
                <a:gd name="csY4" fmla="*/ 234950 h 270192"/>
                <a:gd name="csX5" fmla="*/ 399415 w 399415"/>
                <a:gd name="csY5" fmla="*/ 23495 h 270192"/>
                <a:gd name="csX6" fmla="*/ 375920 w 399415"/>
                <a:gd name="csY6" fmla="*/ 0 h 270192"/>
                <a:gd name="csX7" fmla="*/ 23495 w 399415"/>
                <a:gd name="csY7" fmla="*/ 0 h 270192"/>
                <a:gd name="csX8" fmla="*/ 0 w 399415"/>
                <a:gd name="csY8" fmla="*/ 23495 h 270192"/>
                <a:gd name="csX9" fmla="*/ 0 w 399415"/>
                <a:gd name="csY9" fmla="*/ 270193 h 270192"/>
                <a:gd name="csX10" fmla="*/ 399415 w 399415"/>
                <a:gd name="csY10" fmla="*/ 270193 h 270192"/>
                <a:gd name="csX11" fmla="*/ 399415 w 399415"/>
                <a:gd name="csY11" fmla="*/ 23495 h 270192"/>
              </a:gdLst>
              <a:ahLst/>
              <a:cxnLst>
                <a:cxn ang="0">
                  <a:pos x="csX0" y="csY0"/>
                </a:cxn>
                <a:cxn ang="0">
                  <a:pos x="csX1" y="csY1"/>
                </a:cxn>
                <a:cxn ang="0">
                  <a:pos x="csX2" y="csY2"/>
                </a:cxn>
                <a:cxn ang="0">
                  <a:pos x="csX3" y="csY3"/>
                </a:cxn>
                <a:cxn ang="0">
                  <a:pos x="csX4" y="csY4"/>
                </a:cxn>
                <a:cxn ang="0">
                  <a:pos x="csX5" y="csY5"/>
                </a:cxn>
                <a:cxn ang="0">
                  <a:pos x="csX6" y="csY6"/>
                </a:cxn>
                <a:cxn ang="0">
                  <a:pos x="csX7" y="csY7"/>
                </a:cxn>
                <a:cxn ang="0">
                  <a:pos x="csX8" y="csY8"/>
                </a:cxn>
                <a:cxn ang="0">
                  <a:pos x="csX9" y="csY9"/>
                </a:cxn>
                <a:cxn ang="0">
                  <a:pos x="csX10" y="csY10"/>
                </a:cxn>
                <a:cxn ang="0">
                  <a:pos x="csX11" y="csY11"/>
                </a:cxn>
              </a:cxnLst>
              <a:rect l="l" t="t" r="r" b="b"/>
              <a:pathLst>
                <a:path w="399415" h="270192">
                  <a:moveTo>
                    <a:pt x="364173" y="234950"/>
                  </a:moveTo>
                  <a:lnTo>
                    <a:pt x="35243" y="234950"/>
                  </a:lnTo>
                  <a:lnTo>
                    <a:pt x="35243" y="35243"/>
                  </a:lnTo>
                  <a:lnTo>
                    <a:pt x="364173" y="35243"/>
                  </a:lnTo>
                  <a:lnTo>
                    <a:pt x="364173" y="234950"/>
                  </a:lnTo>
                  <a:close/>
                  <a:moveTo>
                    <a:pt x="399415" y="23495"/>
                  </a:moveTo>
                  <a:cubicBezTo>
                    <a:pt x="399415" y="10573"/>
                    <a:pt x="388842" y="0"/>
                    <a:pt x="375920" y="0"/>
                  </a:cubicBezTo>
                  <a:lnTo>
                    <a:pt x="23495" y="0"/>
                  </a:lnTo>
                  <a:cubicBezTo>
                    <a:pt x="10573" y="0"/>
                    <a:pt x="0" y="10573"/>
                    <a:pt x="0" y="23495"/>
                  </a:cubicBezTo>
                  <a:lnTo>
                    <a:pt x="0" y="270193"/>
                  </a:lnTo>
                  <a:lnTo>
                    <a:pt x="399415" y="270193"/>
                  </a:lnTo>
                  <a:lnTo>
                    <a:pt x="399415" y="23495"/>
                  </a:lnTo>
                  <a:close/>
                </a:path>
              </a:pathLst>
            </a:custGeom>
            <a:solidFill>
              <a:srgbClr val="002060"/>
            </a:solidFill>
            <a:ln w="5854" cap="flat">
              <a:noFill/>
              <a:prstDash val="solid"/>
              <a:miter/>
            </a:ln>
          </xdr:spPr>
          <xdr:txBody>
            <a:bodyPr/>
            <a:lstStyle/>
            <a:p>
              <a:endParaRPr lang="en-IN"/>
            </a:p>
          </xdr:txBody>
        </xdr:sp>
        <xdr:sp macro="" textlink="">
          <xdr:nvSpPr>
            <xdr:cNvPr id="89" name="Rectangle 88">
              <a:extLst>
                <a:ext uri="{FF2B5EF4-FFF2-40B4-BE49-F238E27FC236}">
                  <a16:creationId xmlns:a16="http://schemas.microsoft.com/office/drawing/2014/main" id="{78EE91C6-2C81-F5A8-48CE-E5D215DEA4F5}"/>
                </a:ext>
              </a:extLst>
            </xdr:cNvPr>
            <xdr:cNvSpPr/>
          </xdr:nvSpPr>
          <xdr:spPr>
            <a:xfrm>
              <a:off x="4511040" y="9250680"/>
              <a:ext cx="83820" cy="28194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pic>
          <xdr:nvPicPr>
            <xdr:cNvPr id="87" name="Graphic 86" descr="Back with solid fill">
              <a:extLst>
                <a:ext uri="{FF2B5EF4-FFF2-40B4-BE49-F238E27FC236}">
                  <a16:creationId xmlns:a16="http://schemas.microsoft.com/office/drawing/2014/main" id="{5B692D70-2E5B-CB42-E078-9D077A2CA0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4274088" y="9071611"/>
              <a:ext cx="645132" cy="645132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487659</xdr:colOff>
      <xdr:row>4</xdr:row>
      <xdr:rowOff>510</xdr:rowOff>
    </xdr:from>
    <xdr:to>
      <xdr:col>5</xdr:col>
      <xdr:colOff>325734</xdr:colOff>
      <xdr:row>7</xdr:row>
      <xdr:rowOff>69441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FA37CC78-0DF7-8BA7-E0AB-C668F3D1FAE1}"/>
            </a:ext>
          </a:extLst>
        </xdr:cNvPr>
        <xdr:cNvGrpSpPr/>
      </xdr:nvGrpSpPr>
      <xdr:grpSpPr>
        <a:xfrm>
          <a:off x="3038242" y="720177"/>
          <a:ext cx="1065742" cy="608681"/>
          <a:chOff x="3448721" y="457721"/>
          <a:chExt cx="1057275" cy="617571"/>
        </a:xfrm>
      </xdr:grpSpPr>
      <xdr:sp macro="" textlink="">
        <xdr:nvSpPr>
          <xdr:cNvPr id="57" name="Rectangle: Rounded Corners 56">
            <a:extLst>
              <a:ext uri="{FF2B5EF4-FFF2-40B4-BE49-F238E27FC236}">
                <a16:creationId xmlns:a16="http://schemas.microsoft.com/office/drawing/2014/main" id="{8990CE7A-7858-BC88-9D69-9A04EB5A1F0B}"/>
              </a:ext>
            </a:extLst>
          </xdr:cNvPr>
          <xdr:cNvSpPr/>
        </xdr:nvSpPr>
        <xdr:spPr>
          <a:xfrm>
            <a:off x="3448721" y="463292"/>
            <a:ext cx="972000" cy="612000"/>
          </a:xfrm>
          <a:prstGeom prst="roundRect">
            <a:avLst/>
          </a:prstGeom>
          <a:solidFill>
            <a:schemeClr val="bg1"/>
          </a:solidFill>
          <a:ln>
            <a:gradFill flip="none" rotWithShape="1">
              <a:gsLst>
                <a:gs pos="11000">
                  <a:schemeClr val="accent2">
                    <a:lumMod val="40000"/>
                    <a:lumOff val="60000"/>
                  </a:schemeClr>
                </a:gs>
                <a:gs pos="34000">
                  <a:schemeClr val="accent2">
                    <a:lumMod val="60000"/>
                    <a:lumOff val="40000"/>
                  </a:schemeClr>
                </a:gs>
                <a:gs pos="61000">
                  <a:schemeClr val="accent2">
                    <a:lumMod val="75000"/>
                  </a:schemeClr>
                </a:gs>
                <a:gs pos="87000">
                  <a:schemeClr val="accent2">
                    <a:lumMod val="50000"/>
                  </a:schemeClr>
                </a:gs>
              </a:gsLst>
              <a:path path="rect">
                <a:fillToRect r="100000" b="100000"/>
              </a:path>
              <a:tileRect l="-100000" t="-100000"/>
            </a:gra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200" b="1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7">
        <xdr:nvSpPr>
          <xdr:cNvPr id="58" name="TextBox 57">
            <a:extLst>
              <a:ext uri="{FF2B5EF4-FFF2-40B4-BE49-F238E27FC236}">
                <a16:creationId xmlns:a16="http://schemas.microsoft.com/office/drawing/2014/main" id="{E25D0146-C7D0-F5AA-EAE9-2ACCCFAA141E}"/>
              </a:ext>
            </a:extLst>
          </xdr:cNvPr>
          <xdr:cNvSpPr txBox="1"/>
        </xdr:nvSpPr>
        <xdr:spPr>
          <a:xfrm>
            <a:off x="3898293" y="751483"/>
            <a:ext cx="607703" cy="246999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dk1"/>
          </a:lnRef>
          <a:fillRef idx="100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noAutofit/>
          </a:bodyPr>
          <a:lstStyle/>
          <a:p>
            <a:pPr marL="0" indent="0" algn="l"/>
            <a:fld id="{125D4305-9125-4C84-A4AA-A01C8BE9908A}" type="TxLink">
              <a:rPr lang="en-US" sz="800" b="0" cap="none" spc="0">
                <a:ln>
                  <a:noFill/>
                </a:ln>
                <a:solidFill>
                  <a:srgbClr val="00206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Palatino Linotype" panose="02040502050505030304" pitchFamily="18" charset="0"/>
                <a:ea typeface="+mn-ea"/>
                <a:cs typeface="+mn-cs"/>
              </a:rPr>
              <a:pPr marL="0" indent="0" algn="l"/>
              <a:t>4</a:t>
            </a:fld>
            <a:endParaRPr lang="en-IN" sz="800" b="0" cap="none" spc="0">
              <a:ln>
                <a:noFill/>
              </a:ln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Palatino Linotype" panose="02040502050505030304" pitchFamily="18" charset="0"/>
              <a:ea typeface="+mn-ea"/>
              <a:cs typeface="+mn-cs"/>
            </a:endParaRP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123A3FD1-5465-625B-BA11-46B498FE1810}"/>
              </a:ext>
            </a:extLst>
          </xdr:cNvPr>
          <xdr:cNvSpPr txBox="1"/>
        </xdr:nvSpPr>
        <xdr:spPr>
          <a:xfrm>
            <a:off x="3563816" y="457721"/>
            <a:ext cx="761822" cy="4205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800" b="0" cap="none" spc="5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today's</a:t>
            </a:r>
            <a:r>
              <a:rPr lang="en-IN" sz="800" b="0" cap="none" spc="50" baseline="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 in</a:t>
            </a:r>
            <a:endParaRPr lang="en-IN" sz="800" b="0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endParaRPr>
          </a:p>
          <a:p>
            <a:pPr algn="ctr"/>
            <a:endParaRPr lang="en-IN" sz="1050"/>
          </a:p>
        </xdr:txBody>
      </xdr:sp>
      <xdr:grpSp>
        <xdr:nvGrpSpPr>
          <xdr:cNvPr id="95" name="Group 94">
            <a:extLst>
              <a:ext uri="{FF2B5EF4-FFF2-40B4-BE49-F238E27FC236}">
                <a16:creationId xmlns:a16="http://schemas.microsoft.com/office/drawing/2014/main" id="{C9F92D96-D04B-5593-0A75-CE32BE44D8B6}"/>
              </a:ext>
            </a:extLst>
          </xdr:cNvPr>
          <xdr:cNvGrpSpPr/>
        </xdr:nvGrpSpPr>
        <xdr:grpSpPr>
          <a:xfrm>
            <a:off x="3647208" y="798080"/>
            <a:ext cx="163456" cy="153155"/>
            <a:chOff x="4389110" y="9562558"/>
            <a:chExt cx="594541" cy="594883"/>
          </a:xfrm>
        </xdr:grpSpPr>
        <xdr:grpSp>
          <xdr:nvGrpSpPr>
            <xdr:cNvPr id="91" name="Group 90">
              <a:extLst>
                <a:ext uri="{FF2B5EF4-FFF2-40B4-BE49-F238E27FC236}">
                  <a16:creationId xmlns:a16="http://schemas.microsoft.com/office/drawing/2014/main" id="{A6A8EEA1-CF20-4C21-B66E-A46DDF3D6CDC}"/>
                </a:ext>
              </a:extLst>
            </xdr:cNvPr>
            <xdr:cNvGrpSpPr/>
          </xdr:nvGrpSpPr>
          <xdr:grpSpPr>
            <a:xfrm>
              <a:off x="4389110" y="9590708"/>
              <a:ext cx="432604" cy="566733"/>
              <a:chOff x="4033037" y="9105890"/>
              <a:chExt cx="561823" cy="800099"/>
            </a:xfrm>
          </xdr:grpSpPr>
          <xdr:sp macro="" textlink="">
            <xdr:nvSpPr>
              <xdr:cNvPr id="92" name="Freeform: Shape 91">
                <a:extLst>
                  <a:ext uri="{FF2B5EF4-FFF2-40B4-BE49-F238E27FC236}">
                    <a16:creationId xmlns:a16="http://schemas.microsoft.com/office/drawing/2014/main" id="{C83DC31A-2E32-C7D9-AA48-25AAC70BA428}"/>
                  </a:ext>
                </a:extLst>
              </xdr:cNvPr>
              <xdr:cNvSpPr/>
            </xdr:nvSpPr>
            <xdr:spPr>
              <a:xfrm rot="5400000">
                <a:off x="3910087" y="9228840"/>
                <a:ext cx="800099" cy="554200"/>
              </a:xfrm>
              <a:custGeom>
                <a:avLst/>
                <a:gdLst>
                  <a:gd name="csX0" fmla="*/ 364173 w 399415"/>
                  <a:gd name="csY0" fmla="*/ 234950 h 270192"/>
                  <a:gd name="csX1" fmla="*/ 35243 w 399415"/>
                  <a:gd name="csY1" fmla="*/ 234950 h 270192"/>
                  <a:gd name="csX2" fmla="*/ 35243 w 399415"/>
                  <a:gd name="csY2" fmla="*/ 35243 h 270192"/>
                  <a:gd name="csX3" fmla="*/ 364173 w 399415"/>
                  <a:gd name="csY3" fmla="*/ 35243 h 270192"/>
                  <a:gd name="csX4" fmla="*/ 364173 w 399415"/>
                  <a:gd name="csY4" fmla="*/ 234950 h 270192"/>
                  <a:gd name="csX5" fmla="*/ 399415 w 399415"/>
                  <a:gd name="csY5" fmla="*/ 23495 h 270192"/>
                  <a:gd name="csX6" fmla="*/ 375920 w 399415"/>
                  <a:gd name="csY6" fmla="*/ 0 h 270192"/>
                  <a:gd name="csX7" fmla="*/ 23495 w 399415"/>
                  <a:gd name="csY7" fmla="*/ 0 h 270192"/>
                  <a:gd name="csX8" fmla="*/ 0 w 399415"/>
                  <a:gd name="csY8" fmla="*/ 23495 h 270192"/>
                  <a:gd name="csX9" fmla="*/ 0 w 399415"/>
                  <a:gd name="csY9" fmla="*/ 270193 h 270192"/>
                  <a:gd name="csX10" fmla="*/ 399415 w 399415"/>
                  <a:gd name="csY10" fmla="*/ 270193 h 270192"/>
                  <a:gd name="csX11" fmla="*/ 399415 w 399415"/>
                  <a:gd name="csY11" fmla="*/ 23495 h 270192"/>
                </a:gdLst>
                <a:ahLst/>
                <a:cxnLst>
                  <a:cxn ang="0">
                    <a:pos x="csX0" y="csY0"/>
                  </a:cxn>
                  <a:cxn ang="0">
                    <a:pos x="csX1" y="csY1"/>
                  </a:cxn>
                  <a:cxn ang="0">
                    <a:pos x="csX2" y="csY2"/>
                  </a:cxn>
                  <a:cxn ang="0">
                    <a:pos x="csX3" y="csY3"/>
                  </a:cxn>
                  <a:cxn ang="0">
                    <a:pos x="csX4" y="csY4"/>
                  </a:cxn>
                  <a:cxn ang="0">
                    <a:pos x="csX5" y="csY5"/>
                  </a:cxn>
                  <a:cxn ang="0">
                    <a:pos x="csX6" y="csY6"/>
                  </a:cxn>
                  <a:cxn ang="0">
                    <a:pos x="csX7" y="csY7"/>
                  </a:cxn>
                  <a:cxn ang="0">
                    <a:pos x="csX8" y="csY8"/>
                  </a:cxn>
                  <a:cxn ang="0">
                    <a:pos x="csX9" y="csY9"/>
                  </a:cxn>
                  <a:cxn ang="0">
                    <a:pos x="csX10" y="csY10"/>
                  </a:cxn>
                  <a:cxn ang="0">
                    <a:pos x="csX11" y="csY11"/>
                  </a:cxn>
                </a:cxnLst>
                <a:rect l="l" t="t" r="r" b="b"/>
                <a:pathLst>
                  <a:path w="399415" h="270192">
                    <a:moveTo>
                      <a:pt x="364173" y="234950"/>
                    </a:moveTo>
                    <a:lnTo>
                      <a:pt x="35243" y="234950"/>
                    </a:lnTo>
                    <a:lnTo>
                      <a:pt x="35243" y="35243"/>
                    </a:lnTo>
                    <a:lnTo>
                      <a:pt x="364173" y="35243"/>
                    </a:lnTo>
                    <a:lnTo>
                      <a:pt x="364173" y="234950"/>
                    </a:lnTo>
                    <a:close/>
                    <a:moveTo>
                      <a:pt x="399415" y="23495"/>
                    </a:moveTo>
                    <a:cubicBezTo>
                      <a:pt x="399415" y="10573"/>
                      <a:pt x="388842" y="0"/>
                      <a:pt x="375920" y="0"/>
                    </a:cubicBezTo>
                    <a:lnTo>
                      <a:pt x="23495" y="0"/>
                    </a:lnTo>
                    <a:cubicBezTo>
                      <a:pt x="10573" y="0"/>
                      <a:pt x="0" y="10573"/>
                      <a:pt x="0" y="23495"/>
                    </a:cubicBezTo>
                    <a:lnTo>
                      <a:pt x="0" y="270193"/>
                    </a:lnTo>
                    <a:lnTo>
                      <a:pt x="399415" y="270193"/>
                    </a:lnTo>
                    <a:lnTo>
                      <a:pt x="399415" y="23495"/>
                    </a:lnTo>
                    <a:close/>
                  </a:path>
                </a:pathLst>
              </a:custGeom>
              <a:solidFill>
                <a:srgbClr val="002060"/>
              </a:solidFill>
              <a:ln w="5854" cap="flat">
                <a:noFill/>
                <a:prstDash val="solid"/>
                <a:miter/>
              </a:ln>
            </xdr:spPr>
            <xdr:txBody>
              <a:bodyPr/>
              <a:lstStyle/>
              <a:p>
                <a:endParaRPr lang="en-IN"/>
              </a:p>
            </xdr:txBody>
          </xdr:sp>
          <xdr:sp macro="" textlink="">
            <xdr:nvSpPr>
              <xdr:cNvPr id="93" name="Rectangle 92">
                <a:extLst>
                  <a:ext uri="{FF2B5EF4-FFF2-40B4-BE49-F238E27FC236}">
                    <a16:creationId xmlns:a16="http://schemas.microsoft.com/office/drawing/2014/main" id="{092F855B-93E7-3EEA-730F-8E79C68FC9FE}"/>
                  </a:ext>
                </a:extLst>
              </xdr:cNvPr>
              <xdr:cNvSpPr/>
            </xdr:nvSpPr>
            <xdr:spPr>
              <a:xfrm>
                <a:off x="4511040" y="9250680"/>
                <a:ext cx="83820" cy="281940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IN" sz="1100"/>
              </a:p>
            </xdr:txBody>
          </xdr:sp>
        </xdr:grpSp>
        <xdr:pic>
          <xdr:nvPicPr>
            <xdr:cNvPr id="85" name="Graphic 84" descr="Back with solid fill">
              <a:extLst>
                <a:ext uri="{FF2B5EF4-FFF2-40B4-BE49-F238E27FC236}">
                  <a16:creationId xmlns:a16="http://schemas.microsoft.com/office/drawing/2014/main" id="{200EAE7C-2DA7-569A-D5DE-BCA250A999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 rot="19623622">
              <a:off x="4488013" y="9562558"/>
              <a:ext cx="495638" cy="49563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281352</xdr:colOff>
      <xdr:row>3</xdr:row>
      <xdr:rowOff>149503</xdr:rowOff>
    </xdr:from>
    <xdr:to>
      <xdr:col>8</xdr:col>
      <xdr:colOff>582792</xdr:colOff>
      <xdr:row>7</xdr:row>
      <xdr:rowOff>29983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E1A70F2-0787-EE17-5C98-AD64FBD0098A}"/>
            </a:ext>
          </a:extLst>
        </xdr:cNvPr>
        <xdr:cNvGrpSpPr/>
      </xdr:nvGrpSpPr>
      <xdr:grpSpPr>
        <a:xfrm>
          <a:off x="5763519" y="689253"/>
          <a:ext cx="968190" cy="600147"/>
          <a:chOff x="5996352" y="827683"/>
          <a:chExt cx="972000" cy="612000"/>
        </a:xfrm>
      </xdr:grpSpPr>
      <xdr:sp macro="" textlink="">
        <xdr:nvSpPr>
          <xdr:cNvPr id="67" name="Rectangle: Rounded Corners 66">
            <a:extLst>
              <a:ext uri="{FF2B5EF4-FFF2-40B4-BE49-F238E27FC236}">
                <a16:creationId xmlns:a16="http://schemas.microsoft.com/office/drawing/2014/main" id="{629EABFF-4E4D-4B86-4705-EF1F5D8EEAEA}"/>
              </a:ext>
            </a:extLst>
          </xdr:cNvPr>
          <xdr:cNvSpPr/>
        </xdr:nvSpPr>
        <xdr:spPr>
          <a:xfrm>
            <a:off x="5996352" y="827683"/>
            <a:ext cx="972000" cy="612000"/>
          </a:xfrm>
          <a:prstGeom prst="roundRect">
            <a:avLst/>
          </a:prstGeom>
          <a:solidFill>
            <a:schemeClr val="bg1"/>
          </a:solidFill>
          <a:ln>
            <a:gradFill flip="none" rotWithShape="1">
              <a:gsLst>
                <a:gs pos="15000">
                  <a:schemeClr val="accent2">
                    <a:lumMod val="40000"/>
                    <a:lumOff val="60000"/>
                  </a:schemeClr>
                </a:gs>
                <a:gs pos="38000">
                  <a:schemeClr val="accent2">
                    <a:lumMod val="60000"/>
                    <a:lumOff val="40000"/>
                  </a:schemeClr>
                </a:gs>
                <a:gs pos="60000">
                  <a:schemeClr val="accent2">
                    <a:lumMod val="75000"/>
                  </a:schemeClr>
                </a:gs>
                <a:gs pos="83000">
                  <a:schemeClr val="accent2">
                    <a:lumMod val="50000"/>
                  </a:schemeClr>
                </a:gs>
              </a:gsLst>
              <a:path path="rect">
                <a:fillToRect r="100000" b="100000"/>
              </a:path>
              <a:tileRect l="-100000" t="-100000"/>
            </a:gra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200" b="1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</a:endParaRPr>
          </a:p>
        </xdr:txBody>
      </xdr:sp>
      <xdr:sp macro="" textlink="Dashboard!B59">
        <xdr:nvSpPr>
          <xdr:cNvPr id="68" name="TextBox 67">
            <a:extLst>
              <a:ext uri="{FF2B5EF4-FFF2-40B4-BE49-F238E27FC236}">
                <a16:creationId xmlns:a16="http://schemas.microsoft.com/office/drawing/2014/main" id="{4AF1C4DE-85DC-4BE2-7F57-CEFC2BD1B548}"/>
              </a:ext>
            </a:extLst>
          </xdr:cNvPr>
          <xdr:cNvSpPr txBox="1"/>
        </xdr:nvSpPr>
        <xdr:spPr>
          <a:xfrm>
            <a:off x="6440321" y="1101967"/>
            <a:ext cx="440539" cy="262013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dk1"/>
          </a:lnRef>
          <a:fillRef idx="100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noAutofit/>
          </a:bodyPr>
          <a:lstStyle/>
          <a:p>
            <a:pPr marL="0" indent="0" algn="l"/>
            <a:fld id="{01519F7C-B38C-4C81-AB86-20BC6825BFEF}" type="TxLink">
              <a:rPr lang="en-US" sz="800" b="0" cap="none" spc="0">
                <a:ln>
                  <a:noFill/>
                </a:ln>
                <a:solidFill>
                  <a:srgbClr val="00206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Palatino Linotype" panose="02040502050505030304" pitchFamily="18" charset="0"/>
                <a:ea typeface="+mn-ea"/>
                <a:cs typeface="+mn-cs"/>
              </a:rPr>
              <a:pPr marL="0" indent="0" algn="l"/>
              <a:t>8</a:t>
            </a:fld>
            <a:endParaRPr lang="en-IN" sz="800" b="0" cap="none" spc="0">
              <a:ln>
                <a:noFill/>
              </a:ln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Palatino Linotype" panose="02040502050505030304" pitchFamily="18" charset="0"/>
              <a:ea typeface="+mn-ea"/>
              <a:cs typeface="+mn-cs"/>
            </a:endParaRP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FA225C6F-CDFA-1892-20A5-68B2489547A5}"/>
              </a:ext>
            </a:extLst>
          </xdr:cNvPr>
          <xdr:cNvSpPr txBox="1"/>
        </xdr:nvSpPr>
        <xdr:spPr>
          <a:xfrm>
            <a:off x="6095259" y="847798"/>
            <a:ext cx="762741" cy="3866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800" b="0" cap="none" spc="5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  <a:ea typeface="+mn-ea"/>
                <a:cs typeface="+mn-cs"/>
              </a:rPr>
              <a:t>today's entry's</a:t>
            </a:r>
          </a:p>
          <a:p>
            <a:endParaRPr lang="en-IN" sz="1050"/>
          </a:p>
        </xdr:txBody>
      </xdr:sp>
      <xdr:pic>
        <xdr:nvPicPr>
          <xdr:cNvPr id="97" name="Graphic 96" descr="Checklist with solid fill">
            <a:extLst>
              <a:ext uri="{FF2B5EF4-FFF2-40B4-BE49-F238E27FC236}">
                <a16:creationId xmlns:a16="http://schemas.microsoft.com/office/drawing/2014/main" id="{588811DF-4F89-2F49-733E-5BE96E9387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6149731" y="1141335"/>
            <a:ext cx="273929" cy="227879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301853</xdr:colOff>
      <xdr:row>3</xdr:row>
      <xdr:rowOff>69989</xdr:rowOff>
    </xdr:from>
    <xdr:to>
      <xdr:col>10</xdr:col>
      <xdr:colOff>603293</xdr:colOff>
      <xdr:row>6</xdr:row>
      <xdr:rowOff>133349</xdr:rowOff>
    </xdr:to>
    <xdr:sp macro="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id="{B1003D8C-67AA-CE8B-8918-FEC7EA173178}"/>
            </a:ext>
          </a:extLst>
        </xdr:cNvPr>
        <xdr:cNvSpPr/>
      </xdr:nvSpPr>
      <xdr:spPr>
        <a:xfrm>
          <a:off x="7121753" y="618629"/>
          <a:ext cx="972000" cy="612000"/>
        </a:xfrm>
        <a:prstGeom prst="roundRect">
          <a:avLst/>
        </a:prstGeom>
        <a:solidFill>
          <a:schemeClr val="bg1"/>
        </a:solidFill>
        <a:ln>
          <a:gradFill flip="none" rotWithShape="1">
            <a:gsLst>
              <a:gs pos="14000">
                <a:schemeClr val="accent2">
                  <a:lumMod val="40000"/>
                  <a:lumOff val="60000"/>
                </a:schemeClr>
              </a:gs>
              <a:gs pos="40000">
                <a:schemeClr val="accent2">
                  <a:lumMod val="60000"/>
                  <a:lumOff val="40000"/>
                </a:schemeClr>
              </a:gs>
              <a:gs pos="62000">
                <a:schemeClr val="accent2">
                  <a:lumMod val="75000"/>
                </a:schemeClr>
              </a:gs>
              <a:gs pos="83000">
                <a:schemeClr val="accent2">
                  <a:lumMod val="50000"/>
                </a:schemeClr>
              </a:gs>
            </a:gsLst>
            <a:path path="rect">
              <a:fillToRect r="100000" b="100000"/>
            </a:path>
            <a:tileRect l="-100000" t="-100000"/>
          </a:gra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1200" b="1" cap="none" spc="50">
            <a:ln w="0"/>
            <a:solidFill>
              <a:srgbClr val="00206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</a:endParaRPr>
        </a:p>
      </xdr:txBody>
    </xdr:sp>
    <xdr:clientData/>
  </xdr:twoCellAnchor>
  <xdr:twoCellAnchor>
    <xdr:from>
      <xdr:col>10</xdr:col>
      <xdr:colOff>92691</xdr:colOff>
      <xdr:row>5</xdr:row>
      <xdr:rowOff>861</xdr:rowOff>
    </xdr:from>
    <xdr:to>
      <xdr:col>10</xdr:col>
      <xdr:colOff>434340</xdr:colOff>
      <xdr:row>6</xdr:row>
      <xdr:rowOff>60960</xdr:rowOff>
    </xdr:to>
    <xdr:sp macro="" textlink="Dashboard!B60">
      <xdr:nvSpPr>
        <xdr:cNvPr id="73" name="TextBox 72">
          <a:extLst>
            <a:ext uri="{FF2B5EF4-FFF2-40B4-BE49-F238E27FC236}">
              <a16:creationId xmlns:a16="http://schemas.microsoft.com/office/drawing/2014/main" id="{C27D62CF-1538-CCE2-CCEA-04C0CEE16926}"/>
            </a:ext>
          </a:extLst>
        </xdr:cNvPr>
        <xdr:cNvSpPr txBox="1"/>
      </xdr:nvSpPr>
      <xdr:spPr>
        <a:xfrm>
          <a:off x="7583151" y="915261"/>
          <a:ext cx="341649" cy="242979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dk1"/>
        </a:lnRef>
        <a:fillRef idx="100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noAutofit/>
        </a:bodyPr>
        <a:lstStyle/>
        <a:p>
          <a:pPr marL="0" indent="0" algn="l"/>
          <a:fld id="{4E2CFEF3-CC91-4815-88D6-EE7C593170F3}" type="TxLink">
            <a:rPr lang="en-US" sz="800" b="0" cap="none" spc="0">
              <a:ln>
                <a:noFill/>
              </a:ln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Palatino Linotype" panose="02040502050505030304" pitchFamily="18" charset="0"/>
              <a:ea typeface="+mn-ea"/>
              <a:cs typeface="+mn-cs"/>
            </a:rPr>
            <a:pPr marL="0" indent="0" algn="l"/>
            <a:t>11</a:t>
          </a:fld>
          <a:endParaRPr lang="en-IN" sz="800" b="0" cap="none" spc="0">
            <a:ln>
              <a:noFill/>
            </a:ln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Palatino Linotype" panose="0204050205050503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369603</xdr:colOff>
      <xdr:row>3</xdr:row>
      <xdr:rowOff>68854</xdr:rowOff>
    </xdr:from>
    <xdr:to>
      <xdr:col>10</xdr:col>
      <xdr:colOff>502921</xdr:colOff>
      <xdr:row>5</xdr:row>
      <xdr:rowOff>68579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F4D5474-77B2-7CAC-B810-1CBE15DEB897}"/>
            </a:ext>
          </a:extLst>
        </xdr:cNvPr>
        <xdr:cNvSpPr txBox="1"/>
      </xdr:nvSpPr>
      <xdr:spPr>
        <a:xfrm>
          <a:off x="7189503" y="617494"/>
          <a:ext cx="803878" cy="3654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0" cap="none" spc="50">
              <a:ln w="0"/>
              <a:solidFill>
                <a:srgbClr val="00206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Castellar" panose="020A0402060406010301" pitchFamily="18" charset="0"/>
              <a:ea typeface="+mn-ea"/>
              <a:cs typeface="+mn-cs"/>
            </a:rPr>
            <a:t>Total courses</a:t>
          </a:r>
          <a:endParaRPr lang="en-IN" sz="800" b="0" cap="none" spc="50">
            <a:ln w="0"/>
            <a:solidFill>
              <a:srgbClr val="00206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Castellar" panose="020A0402060406010301" pitchFamily="18" charset="0"/>
            <a:ea typeface="+mn-ea"/>
            <a:cs typeface="+mn-cs"/>
          </a:endParaRPr>
        </a:p>
        <a:p>
          <a:endParaRPr lang="en-IN" sz="1050"/>
        </a:p>
      </xdr:txBody>
    </xdr:sp>
    <xdr:clientData/>
  </xdr:twoCellAnchor>
  <xdr:twoCellAnchor>
    <xdr:from>
      <xdr:col>9</xdr:col>
      <xdr:colOff>446478</xdr:colOff>
      <xdr:row>5</xdr:row>
      <xdr:rowOff>9700</xdr:rowOff>
    </xdr:from>
    <xdr:to>
      <xdr:col>10</xdr:col>
      <xdr:colOff>85593</xdr:colOff>
      <xdr:row>6</xdr:row>
      <xdr:rowOff>83819</xdr:rowOff>
    </xdr:to>
    <xdr:pic>
      <xdr:nvPicPr>
        <xdr:cNvPr id="99" name="Graphic 98" descr="Graduation cap with solid fill">
          <a:extLst>
            <a:ext uri="{FF2B5EF4-FFF2-40B4-BE49-F238E27FC236}">
              <a16:creationId xmlns:a16="http://schemas.microsoft.com/office/drawing/2014/main" id="{C09410A7-EF7A-5DCD-FBCD-98EBFE9AC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7266378" y="924100"/>
          <a:ext cx="309675" cy="256999"/>
        </a:xfrm>
        <a:prstGeom prst="rect">
          <a:avLst/>
        </a:prstGeom>
      </xdr:spPr>
    </xdr:pic>
    <xdr:clientData/>
  </xdr:twoCellAnchor>
  <xdr:twoCellAnchor>
    <xdr:from>
      <xdr:col>20</xdr:col>
      <xdr:colOff>505500</xdr:colOff>
      <xdr:row>39</xdr:row>
      <xdr:rowOff>67328</xdr:rowOff>
    </xdr:from>
    <xdr:to>
      <xdr:col>22</xdr:col>
      <xdr:colOff>596915</xdr:colOff>
      <xdr:row>41</xdr:row>
      <xdr:rowOff>169621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5A2D9B1-DF6F-B6D8-BE46-1B98BA5A9F52}"/>
            </a:ext>
          </a:extLst>
        </xdr:cNvPr>
        <xdr:cNvGrpSpPr/>
      </xdr:nvGrpSpPr>
      <xdr:grpSpPr>
        <a:xfrm>
          <a:off x="14655417" y="7084078"/>
          <a:ext cx="2197498" cy="462126"/>
          <a:chOff x="12245341" y="5733448"/>
          <a:chExt cx="2200574" cy="474847"/>
        </a:xfrm>
      </xdr:grpSpPr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0C9513DE-73B0-3A6B-6FA0-7C885E284459}"/>
              </a:ext>
            </a:extLst>
          </xdr:cNvPr>
          <xdr:cNvGrpSpPr/>
        </xdr:nvGrpSpPr>
        <xdr:grpSpPr>
          <a:xfrm>
            <a:off x="12245341" y="5733448"/>
            <a:ext cx="2200574" cy="474847"/>
            <a:chOff x="12245341" y="5733448"/>
            <a:chExt cx="2200574" cy="474847"/>
          </a:xfrm>
        </xdr:grpSpPr>
        <xdr:sp macro="" textlink="">
          <xdr:nvSpPr>
            <xdr:cNvPr id="15" name="Rectangle: Rounded Corners 14">
              <a:extLst>
                <a:ext uri="{FF2B5EF4-FFF2-40B4-BE49-F238E27FC236}">
                  <a16:creationId xmlns:a16="http://schemas.microsoft.com/office/drawing/2014/main" id="{F94D764C-AEC2-41A0-8FFC-91DEE116B9F2}"/>
                </a:ext>
              </a:extLst>
            </xdr:cNvPr>
            <xdr:cNvSpPr/>
          </xdr:nvSpPr>
          <xdr:spPr>
            <a:xfrm>
              <a:off x="12245341" y="5733448"/>
              <a:ext cx="2200574" cy="474847"/>
            </a:xfrm>
            <a:prstGeom prst="roundRect">
              <a:avLst/>
            </a:prstGeom>
            <a:solidFill>
              <a:schemeClr val="bg1"/>
            </a:solidFill>
            <a:ln w="15875" cap="rnd" cmpd="sng">
              <a:gradFill flip="none" rotWithShape="1">
                <a:gsLst>
                  <a:gs pos="16000">
                    <a:schemeClr val="accent2">
                      <a:lumMod val="40000"/>
                      <a:lumOff val="60000"/>
                    </a:schemeClr>
                  </a:gs>
                  <a:gs pos="56000">
                    <a:schemeClr val="accent2">
                      <a:lumMod val="75000"/>
                    </a:schemeClr>
                  </a:gs>
                  <a:gs pos="78000">
                    <a:schemeClr val="accent2">
                      <a:lumMod val="50000"/>
                    </a:schemeClr>
                  </a:gs>
                  <a:gs pos="36000">
                    <a:schemeClr val="accent2">
                      <a:lumMod val="60000"/>
                      <a:lumOff val="40000"/>
                    </a:schemeClr>
                  </a:gs>
                </a:gsLst>
                <a:path path="rect">
                  <a:fillToRect r="100000" b="100000"/>
                </a:path>
                <a:tileRect l="-100000" t="-100000"/>
              </a:gradFill>
              <a:prstDash val="solid"/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en-US" sz="1200" b="1" cap="none" spc="50">
                <a:ln w="0"/>
                <a:solidFill>
                  <a:srgbClr val="002060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Castellar" panose="020A0402060406010301" pitchFamily="18" charset="0"/>
              </a:endParaRPr>
            </a:p>
          </xdr:txBody>
        </xdr:sp>
        <xdr:pic>
          <xdr:nvPicPr>
            <xdr:cNvPr id="17" name="Graphic 16" descr="Arrow circle with solid fill">
              <a:extLst>
                <a:ext uri="{FF2B5EF4-FFF2-40B4-BE49-F238E27FC236}">
                  <a16:creationId xmlns:a16="http://schemas.microsoft.com/office/drawing/2014/main" id="{8E488697-1989-FC92-A703-4E7AD054609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2344401" y="5759117"/>
              <a:ext cx="433136" cy="433136"/>
            </a:xfrm>
            <a:prstGeom prst="rect">
              <a:avLst/>
            </a:prstGeom>
          </xdr:spPr>
        </xdr:pic>
      </xdr:grp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2C23AE23-26F2-3681-B644-78BA261BA7DB}"/>
              </a:ext>
            </a:extLst>
          </xdr:cNvPr>
          <xdr:cNvGrpSpPr/>
        </xdr:nvGrpSpPr>
        <xdr:grpSpPr>
          <a:xfrm>
            <a:off x="12649200" y="5751096"/>
            <a:ext cx="1612231" cy="385009"/>
            <a:chOff x="6360695" y="3392905"/>
            <a:chExt cx="1927265" cy="835554"/>
          </a:xfrm>
          <a:noFill/>
        </xdr:grpSpPr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E1B3B2A2-3A94-E96E-478E-B5FCED0ECD93}"/>
                </a:ext>
              </a:extLst>
            </xdr:cNvPr>
            <xdr:cNvSpPr txBox="1"/>
          </xdr:nvSpPr>
          <xdr:spPr>
            <a:xfrm>
              <a:off x="6360695" y="3392905"/>
              <a:ext cx="1668379" cy="409074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IN" sz="1100" b="1" cap="none" spc="50">
                  <a:ln w="0"/>
                  <a:solidFill>
                    <a:srgbClr val="062542"/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parajita" panose="02020603050405020304" pitchFamily="18" charset="0"/>
                  <a:ea typeface="+mn-ea"/>
                  <a:cs typeface="Aparajita" panose="02020603050405020304" pitchFamily="18" charset="0"/>
                </a:rPr>
                <a:t>LAST</a:t>
              </a:r>
              <a:r>
                <a:rPr lang="en-IN" sz="1100" baseline="0">
                  <a:solidFill>
                    <a:srgbClr val="062542"/>
                  </a:solidFill>
                  <a:latin typeface="Aparajita" panose="02020603050405020304" pitchFamily="18" charset="0"/>
                  <a:cs typeface="Aparajita" panose="02020603050405020304" pitchFamily="18" charset="0"/>
                </a:rPr>
                <a:t> </a:t>
              </a:r>
              <a:r>
                <a:rPr lang="en-IN" sz="1100" b="1" cap="none" spc="50">
                  <a:ln w="0"/>
                  <a:solidFill>
                    <a:srgbClr val="062542"/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parajita" panose="02020603050405020304" pitchFamily="18" charset="0"/>
                  <a:ea typeface="+mn-ea"/>
                  <a:cs typeface="Aparajita" panose="02020603050405020304" pitchFamily="18" charset="0"/>
                </a:rPr>
                <a:t>REFRESH</a:t>
              </a:r>
            </a:p>
          </xdr:txBody>
        </xdr:sp>
        <xdr:sp macro="" textlink="Dashboard!$B$61">
          <xdr:nvSpPr>
            <xdr:cNvPr id="20" name="TextBox 19">
              <a:extLst>
                <a:ext uri="{FF2B5EF4-FFF2-40B4-BE49-F238E27FC236}">
                  <a16:creationId xmlns:a16="http://schemas.microsoft.com/office/drawing/2014/main" id="{02DA4A1F-4CE6-4387-86EF-8335576DE322}"/>
                </a:ext>
              </a:extLst>
            </xdr:cNvPr>
            <xdr:cNvSpPr txBox="1"/>
          </xdr:nvSpPr>
          <xdr:spPr>
            <a:xfrm>
              <a:off x="6360695" y="3801978"/>
              <a:ext cx="1927265" cy="426481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B8F50F1-3C20-4D77-A163-B54E2580AF00}" type="TxLink">
                <a:rPr lang="en-US" sz="1400" b="1" i="0" u="none" strike="noStrike">
                  <a:solidFill>
                    <a:schemeClr val="accent2">
                      <a:lumMod val="50000"/>
                    </a:schemeClr>
                  </a:solidFill>
                  <a:latin typeface="Angsana New" panose="02020603050405020304" pitchFamily="18" charset="-34"/>
                  <a:cs typeface="Angsana New" panose="02020603050405020304" pitchFamily="18" charset="-34"/>
                </a:rPr>
                <a:pPr algn="ctr"/>
                <a:t>05-Jul-2026 12:53 PM</a:t>
              </a:fld>
              <a:endParaRPr lang="en-IN" sz="1400" b="1">
                <a:solidFill>
                  <a:schemeClr val="accent2">
                    <a:lumMod val="50000"/>
                  </a:schemeClr>
                </a:solidFill>
                <a:latin typeface="Angsana New" panose="02020603050405020304" pitchFamily="18" charset="-34"/>
                <a:cs typeface="Angsana New" panose="02020603050405020304" pitchFamily="18" charset="-34"/>
              </a:endParaRPr>
            </a:p>
          </xdr:txBody>
        </xdr:sp>
      </xdr:grpSp>
    </xdr:grpSp>
    <xdr:clientData/>
  </xdr:twoCellAnchor>
  <xdr:twoCellAnchor>
    <xdr:from>
      <xdr:col>14</xdr:col>
      <xdr:colOff>170555</xdr:colOff>
      <xdr:row>0</xdr:row>
      <xdr:rowOff>53164</xdr:rowOff>
    </xdr:from>
    <xdr:to>
      <xdr:col>18</xdr:col>
      <xdr:colOff>531622</xdr:colOff>
      <xdr:row>3</xdr:row>
      <xdr:rowOff>53164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73C90FFF-0EFB-A6F1-6F25-9CC3EC22301D}"/>
            </a:ext>
          </a:extLst>
        </xdr:cNvPr>
        <xdr:cNvGrpSpPr/>
      </xdr:nvGrpSpPr>
      <xdr:grpSpPr>
        <a:xfrm>
          <a:off x="10319972" y="53164"/>
          <a:ext cx="3028067" cy="539750"/>
          <a:chOff x="10315791" y="17724"/>
          <a:chExt cx="3054648" cy="558209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4AEEA277-41B6-DA17-D1AB-349363374C94}"/>
              </a:ext>
            </a:extLst>
          </xdr:cNvPr>
          <xdr:cNvGrpSpPr/>
        </xdr:nvGrpSpPr>
        <xdr:grpSpPr>
          <a:xfrm>
            <a:off x="10315791" y="65741"/>
            <a:ext cx="3014893" cy="419722"/>
            <a:chOff x="10315791" y="65741"/>
            <a:chExt cx="3014893" cy="419722"/>
          </a:xfrm>
        </xdr:grpSpPr>
        <xdr:sp macro="" textlink="">
          <xdr:nvSpPr>
            <xdr:cNvPr id="34" name="Rectangle: Rounded Corners 33">
              <a:extLst>
                <a:ext uri="{FF2B5EF4-FFF2-40B4-BE49-F238E27FC236}">
                  <a16:creationId xmlns:a16="http://schemas.microsoft.com/office/drawing/2014/main" id="{D6D1DB9D-8862-53E6-A0B1-80C3EFBC30DB}"/>
                </a:ext>
              </a:extLst>
            </xdr:cNvPr>
            <xdr:cNvSpPr/>
          </xdr:nvSpPr>
          <xdr:spPr>
            <a:xfrm>
              <a:off x="10315791" y="65741"/>
              <a:ext cx="3014893" cy="419722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cxnSp macro="">
          <xdr:nvCxnSpPr>
            <xdr:cNvPr id="24" name="Straight Connector 23">
              <a:extLst>
                <a:ext uri="{FF2B5EF4-FFF2-40B4-BE49-F238E27FC236}">
                  <a16:creationId xmlns:a16="http://schemas.microsoft.com/office/drawing/2014/main" id="{82C3D3EB-3E69-13FA-B395-DE64F7EEFEAE}"/>
                </a:ext>
              </a:extLst>
            </xdr:cNvPr>
            <xdr:cNvCxnSpPr/>
          </xdr:nvCxnSpPr>
          <xdr:spPr>
            <a:xfrm flipH="1">
              <a:off x="11844937" y="126833"/>
              <a:ext cx="200" cy="308172"/>
            </a:xfrm>
            <a:prstGeom prst="line">
              <a:avLst/>
            </a:prstGeom>
            <a:ln>
              <a:solidFill>
                <a:srgbClr val="062542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Dashboard!$B$62">
        <xdr:nvSpPr>
          <xdr:cNvPr id="33" name="TextBox 32">
            <a:extLst>
              <a:ext uri="{FF2B5EF4-FFF2-40B4-BE49-F238E27FC236}">
                <a16:creationId xmlns:a16="http://schemas.microsoft.com/office/drawing/2014/main" id="{01C352F1-916C-418E-807F-1CEA961A49A9}"/>
              </a:ext>
            </a:extLst>
          </xdr:cNvPr>
          <xdr:cNvSpPr txBox="1"/>
        </xdr:nvSpPr>
        <xdr:spPr>
          <a:xfrm>
            <a:off x="10951536" y="17724"/>
            <a:ext cx="859464" cy="5582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F27317AF-648E-4574-9FAA-B60EBE3B1970}" type="TxLink">
              <a:rPr lang="en-US" sz="1200" b="0" i="0" u="none" strike="noStrike" cap="none" spc="50">
                <a:ln w="0"/>
                <a:solidFill>
                  <a:srgbClr val="06254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parajita" panose="02020603050405020304" pitchFamily="18" charset="0"/>
                <a:ea typeface="+mn-ea"/>
                <a:cs typeface="Aparajita" panose="02020603050405020304" pitchFamily="18" charset="0"/>
              </a:rPr>
              <a:pPr algn="l"/>
              <a:t>05-Jul-2026 Sunday</a:t>
            </a:fld>
            <a:endParaRPr lang="en-IN" sz="1200" b="1" cap="none" spc="50">
              <a:ln w="0"/>
              <a:solidFill>
                <a:srgbClr val="06254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parajita" panose="02020603050405020304" pitchFamily="18" charset="0"/>
              <a:ea typeface="+mn-ea"/>
              <a:cs typeface="Aparajita" panose="02020603050405020304" pitchFamily="18" charset="0"/>
            </a:endParaRPr>
          </a:p>
        </xdr:txBody>
      </xdr: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6A06CB46-ED18-995F-03B9-8762D5242884}"/>
              </a:ext>
            </a:extLst>
          </xdr:cNvPr>
          <xdr:cNvGrpSpPr/>
        </xdr:nvGrpSpPr>
        <xdr:grpSpPr>
          <a:xfrm>
            <a:off x="12360345" y="88636"/>
            <a:ext cx="1010094" cy="407575"/>
            <a:chOff x="12962861" y="7469372"/>
            <a:chExt cx="1629132" cy="353187"/>
          </a:xfrm>
        </xdr:grpSpPr>
        <xdr:sp macro="" textlink="Dashboard!$B$63">
          <xdr:nvSpPr>
            <xdr:cNvPr id="35" name="TextBox 34">
              <a:extLst>
                <a:ext uri="{FF2B5EF4-FFF2-40B4-BE49-F238E27FC236}">
                  <a16:creationId xmlns:a16="http://schemas.microsoft.com/office/drawing/2014/main" id="{BAAE78E0-024A-4FD3-B6E4-B89D23624674}"/>
                </a:ext>
              </a:extLst>
            </xdr:cNvPr>
            <xdr:cNvSpPr txBox="1"/>
          </xdr:nvSpPr>
          <xdr:spPr>
            <a:xfrm>
              <a:off x="12962861" y="7469372"/>
              <a:ext cx="1611411" cy="197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7FFF869-7B6E-445D-8291-D9F1935CE26B}" type="TxLink">
                <a:rPr lang="en-US" sz="1200" b="0" i="0" u="none" strike="noStrike">
                  <a:solidFill>
                    <a:srgbClr val="000000"/>
                  </a:solidFill>
                  <a:latin typeface="Aparajita" panose="02020603050405020304" pitchFamily="18" charset="0"/>
                  <a:cs typeface="Aparajita" panose="02020603050405020304" pitchFamily="18" charset="0"/>
                </a:rPr>
                <a:pPr algn="ctr"/>
                <a:t>12:53 PM</a:t>
              </a:fld>
              <a:endParaRPr lang="en-IN" sz="1600" b="1">
                <a:solidFill>
                  <a:srgbClr val="0033CC"/>
                </a:solidFill>
                <a:latin typeface="Aparajita" panose="02020603050405020304" pitchFamily="18" charset="0"/>
                <a:cs typeface="Aparajita" panose="02020603050405020304" pitchFamily="18" charset="0"/>
              </a:endParaRPr>
            </a:p>
          </xdr:txBody>
        </xdr: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EF3EDF35-983E-4744-AC32-E180B74D2175}"/>
                </a:ext>
              </a:extLst>
            </xdr:cNvPr>
            <xdr:cNvSpPr txBox="1"/>
          </xdr:nvSpPr>
          <xdr:spPr>
            <a:xfrm>
              <a:off x="12980581" y="7624732"/>
              <a:ext cx="1611412" cy="19782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1200" b="0" i="0" u="none" strike="noStrike" cap="none" spc="50">
                  <a:ln w="0"/>
                  <a:solidFill>
                    <a:srgbClr val="062542"/>
                  </a:solidFill>
                  <a:effectLst>
                    <a:innerShdw blurRad="63500" dist="50800" dir="13500000">
                      <a:srgbClr val="000000">
                        <a:alpha val="50000"/>
                      </a:srgbClr>
                    </a:innerShdw>
                  </a:effectLst>
                  <a:latin typeface="Aparajita" panose="02020603050405020304" pitchFamily="18" charset="0"/>
                  <a:ea typeface="+mn-ea"/>
                  <a:cs typeface="Aparajita" panose="02020603050405020304" pitchFamily="18" charset="0"/>
                </a:rPr>
                <a:t>Current Time</a:t>
              </a:r>
            </a:p>
          </xdr:txBody>
        </xdr:sp>
      </xdr:grpSp>
      <xdr:pic>
        <xdr:nvPicPr>
          <xdr:cNvPr id="41" name="Graphic 40" descr="Clock with solid fill">
            <a:extLst>
              <a:ext uri="{FF2B5EF4-FFF2-40B4-BE49-F238E27FC236}">
                <a16:creationId xmlns:a16="http://schemas.microsoft.com/office/drawing/2014/main" id="{2A93B127-D3D9-9995-68A0-8E158916E0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1970486" y="62022"/>
            <a:ext cx="398721" cy="398721"/>
          </a:xfrm>
          <a:prstGeom prst="rect">
            <a:avLst/>
          </a:prstGeom>
        </xdr:spPr>
      </xdr:pic>
      <xdr:pic>
        <xdr:nvPicPr>
          <xdr:cNvPr id="43" name="Graphic 42" descr="Daily calendar with solid fill">
            <a:extLst>
              <a:ext uri="{FF2B5EF4-FFF2-40B4-BE49-F238E27FC236}">
                <a16:creationId xmlns:a16="http://schemas.microsoft.com/office/drawing/2014/main" id="{979B396E-AFAF-9752-2C4F-ECEC004E23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0463583" y="53163"/>
            <a:ext cx="417070" cy="41707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123179</xdr:colOff>
      <xdr:row>9</xdr:row>
      <xdr:rowOff>100299</xdr:rowOff>
    </xdr:from>
    <xdr:to>
      <xdr:col>6</xdr:col>
      <xdr:colOff>19538</xdr:colOff>
      <xdr:row>20</xdr:row>
      <xdr:rowOff>78155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6E6B0B-6769-42F0-98ED-3264CD4FB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434340</xdr:colOff>
      <xdr:row>9</xdr:row>
      <xdr:rowOff>121920</xdr:rowOff>
    </xdr:from>
    <xdr:to>
      <xdr:col>9</xdr:col>
      <xdr:colOff>281940</xdr:colOff>
      <xdr:row>20</xdr:row>
      <xdr:rowOff>137160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6D9B8FF-5469-4E46-9BD3-E29EF09B3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655320</xdr:colOff>
      <xdr:row>9</xdr:row>
      <xdr:rowOff>0</xdr:rowOff>
    </xdr:from>
    <xdr:to>
      <xdr:col>16</xdr:col>
      <xdr:colOff>533400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BBF5024-F4FD-432B-B8BD-99ECCD8147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685800</xdr:colOff>
      <xdr:row>22</xdr:row>
      <xdr:rowOff>53340</xdr:rowOff>
    </xdr:from>
    <xdr:to>
      <xdr:col>6</xdr:col>
      <xdr:colOff>220980</xdr:colOff>
      <xdr:row>34</xdr:row>
      <xdr:rowOff>106680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5F11F64-464D-4525-856E-CBE22A29C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</xdr:col>
      <xdr:colOff>932328</xdr:colOff>
      <xdr:row>24</xdr:row>
      <xdr:rowOff>161365</xdr:rowOff>
    </xdr:from>
    <xdr:to>
      <xdr:col>11</xdr:col>
      <xdr:colOff>17929</xdr:colOff>
      <xdr:row>36</xdr:row>
      <xdr:rowOff>170330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0FB6C34-A536-4117-8ACF-F4593E9022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611716</xdr:colOff>
      <xdr:row>24</xdr:row>
      <xdr:rowOff>176678</xdr:rowOff>
    </xdr:from>
    <xdr:to>
      <xdr:col>20</xdr:col>
      <xdr:colOff>315881</xdr:colOff>
      <xdr:row>40</xdr:row>
      <xdr:rowOff>50549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D83219A-FE2F-403B-8301-0D4111CABF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233082</xdr:colOff>
      <xdr:row>2</xdr:row>
      <xdr:rowOff>134471</xdr:rowOff>
    </xdr:from>
    <xdr:to>
      <xdr:col>1</xdr:col>
      <xdr:colOff>98611</xdr:colOff>
      <xdr:row>5</xdr:row>
      <xdr:rowOff>8964</xdr:rowOff>
    </xdr:to>
    <xdr:sp macro="[0]!RefreshDashboard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9EC968A7-5098-4962-954D-A213A913723F}"/>
            </a:ext>
          </a:extLst>
        </xdr:cNvPr>
        <xdr:cNvSpPr/>
      </xdr:nvSpPr>
      <xdr:spPr>
        <a:xfrm>
          <a:off x="233082" y="493059"/>
          <a:ext cx="1084729" cy="412376"/>
        </a:xfrm>
        <a:prstGeom prst="round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59000">
              <a:schemeClr val="accent3">
                <a:lumMod val="60000"/>
                <a:lumOff val="40000"/>
              </a:schemeClr>
            </a:gs>
          </a:gsLst>
          <a:lin ang="5400000" scaled="1"/>
          <a:tileRect/>
        </a:gra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254000" dist="38100" dir="2700000" sx="102000" sy="102000" algn="tl" rotWithShape="0">
            <a:schemeClr val="tx1">
              <a:alpha val="60000"/>
            </a:scheme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en-IN" sz="800" b="1">
              <a:solidFill>
                <a:schemeClr val="accent1">
                  <a:lumMod val="50000"/>
                </a:schemeClr>
              </a:solidFill>
              <a:latin typeface="Lucida Bright" panose="02040602050505020304" pitchFamily="18" charset="0"/>
              <a:ea typeface="+mn-ea"/>
              <a:cs typeface="+mn-cs"/>
            </a:rPr>
            <a:t>  Refresh</a:t>
          </a:r>
          <a:r>
            <a:rPr lang="en-IN" sz="800" b="1" baseline="0">
              <a:solidFill>
                <a:schemeClr val="accent1">
                  <a:lumMod val="50000"/>
                </a:schemeClr>
              </a:solidFill>
              <a:latin typeface="Lucida Bright" panose="02040602050505020304" pitchFamily="18" charset="0"/>
              <a:ea typeface="+mn-ea"/>
              <a:cs typeface="+mn-cs"/>
            </a:rPr>
            <a:t> Dashboard</a:t>
          </a:r>
          <a:endParaRPr lang="en-IN" sz="800" b="1">
            <a:solidFill>
              <a:schemeClr val="accent1">
                <a:lumMod val="50000"/>
              </a:schemeClr>
            </a:solidFill>
            <a:latin typeface="Lucida Bright" panose="02040602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430306</xdr:colOff>
      <xdr:row>8</xdr:row>
      <xdr:rowOff>35857</xdr:rowOff>
    </xdr:from>
    <xdr:to>
      <xdr:col>21</xdr:col>
      <xdr:colOff>779928</xdr:colOff>
      <xdr:row>19</xdr:row>
      <xdr:rowOff>125505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88C6CF3-D40D-4DC8-B77F-6ADC81E95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it" refreshedDate="46208.537444791669" createdVersion="8" refreshedVersion="8" minRefreshableVersion="3" recordCount="2" xr:uid="{2B120180-4C8C-46BE-AEF1-1FB2CB611F14}">
  <cacheSource type="worksheet">
    <worksheetSource ref="A57:B59" sheet="Pivot"/>
  </cacheSource>
  <cacheFields count="2">
    <cacheField name="Status" numFmtId="0">
      <sharedItems count="2">
        <s v="Today's IN"/>
        <s v="Today's OUT"/>
      </sharedItems>
    </cacheField>
    <cacheField name="Count" numFmtId="0">
      <sharedItems containsSemiMixedTypes="0" containsString="0" containsNumber="1" containsInteger="1" minValue="4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kit" refreshedDate="46208.537444791669" createdVersion="8" refreshedVersion="8" minRefreshableVersion="3" recordCount="113" xr:uid="{6EAC9607-F8FC-4DD8-8064-6AEDBB7D5DF8}">
  <cacheSource type="worksheet">
    <worksheetSource name="tblStudents"/>
  </cacheSource>
  <cacheFields count="6">
    <cacheField name="Student_ID" numFmtId="0">
      <sharedItems/>
    </cacheField>
    <cacheField name="Name" numFmtId="0">
      <sharedItems/>
    </cacheField>
    <cacheField name="Mobile" numFmtId="0">
      <sharedItems containsSemiMixedTypes="0" containsString="0" containsNumber="1" containsInteger="1" minValue="9584672315" maxValue="9876501276"/>
    </cacheField>
    <cacheField name="Course" numFmtId="0">
      <sharedItems count="22">
        <s v="AI/ML ENGINEER"/>
        <s v="AI BI ANALYST"/>
        <s v="CLOUD APP DEV"/>
        <s v="AUTO CAD TECH"/>
        <s v="ASSEMBLY OP (RAC)"/>
        <s v="COMPLIANCE AUDIT ANALYST"/>
        <s v="IOT NETWORK SPEC"/>
        <s v="EV PRODUCT DESIGN"/>
        <s v="IOT DOMAIN SPEC"/>
        <s v="AUTO ASSEMBLY TECH"/>
        <s v="ENDPOINT SEC ANALYST"/>
        <s v="AI MACHINE LEARNING ENGINEER" u="1"/>
        <s v="AI - BUSINESS INTELLIGENCE ANALYSIS" u="1"/>
        <s v="ANALYST COMPLIANCE AUDIT- CYBERSECURITY" u="1"/>
        <s v="IOT - NETWORK SPECIALIST" u="1"/>
        <s v="IOT - DOMAIN SPECIALIST" u="1"/>
        <s v="CLOUD APPLICATION DEVELOPER" u="1"/>
        <s v="AUTOMOTIVE CAD TECHNICIAN" u="1"/>
        <s v="ASSEMBLY OPERATOR - RAC" u="1"/>
        <s v="ANALYST END POINT SECURITY CYBERSECURITY" u="1"/>
        <s v="ELECTRIC VEHICLE PRODUCT DESIGN ENGINEER" u="1"/>
        <s v="AUTOMOTIVE ASSEMBLY TECHNICIAN" u="1"/>
      </sharedItems>
    </cacheField>
    <cacheField name="Address" numFmtId="0">
      <sharedItems count="71">
        <s v="Pune, Maharashtra"/>
        <s v="Nashik, Maharashtra"/>
        <s v="Nagpur, Maharashtra"/>
        <s v="Mumbai, Maharashtra"/>
        <s v="Chhatrapati Sambhajinagar, Maharashtra"/>
        <s v="Jalna, Maharashtra"/>
        <s v="Kolhapur, Maharashtra"/>
        <s v="Solapur, Maharashtra"/>
        <s v="Satara, Maharashtra"/>
        <s v="Sangli, Maharashtra"/>
        <s v="Ahilya Nagar, Maharashtra"/>
        <s v="Beed, Maharashtra"/>
        <s v="Latur, Maharashtra"/>
        <s v="Akola, Maharashtra"/>
        <s v="Dharashiv, Maharashtra"/>
        <s v="Thane, Maharashtra"/>
        <s v="Jalgaon, Maharashtra"/>
        <s v="Amravati, Maharashtra"/>
        <s v="Navi Mumbai, Maharashtra"/>
        <s v="Parbhani, Maharashtra"/>
        <s v="Nanded, Maharashtra"/>
        <s v="Wardha, Maharashtra"/>
        <s v="Chandrapur, Maharashtra"/>
        <s v="Ratnagiri, Maharashtra"/>
        <s v="Sindhudurg, Maharashtra"/>
        <s v="Hingoli, Maharashtra"/>
        <s v="Washim, Maharashtra"/>
        <s v="Buldhana, Maharashtra"/>
        <s v="Yavatmal, Maharashtra "/>
        <s v="Gondia, Maharashtra"/>
        <s v="Gadchiroli, Maharashtra"/>
        <s v="Dhule, Maharashtra"/>
        <s v="Ahilya Nagar, Maharashtra, Maharashtra"/>
        <s v="Hadapsar, Pune"/>
        <s v="Wagholi, Pune"/>
        <s v="Chakan, Pune"/>
        <s v="Kharadi, Pune"/>
        <s v="Hinjawadi, Pune"/>
        <s v="Baner, Pune"/>
        <s v="Wakad, Pune"/>
        <s v="Pimpri, Pune"/>
        <s v="Chinchwad, Pune"/>
        <s v="Talegaon, Pune"/>
        <s v="Moshi, Pune"/>
        <s v="Bhosari, Pune"/>
        <s v="Alandi, Pune"/>
        <s v="Lohegaon, Pune"/>
        <s v="Dhanori, Pune"/>
        <s v="Kondhwa, Pune"/>
        <s v="Katraj, Pune"/>
        <s v="Shivajinagar, Pune"/>
        <s v="Bavdhan, Pune"/>
        <s v="Nigdi, Pune"/>
        <s v="Ravet, Pune"/>
        <s v="Dhayari, Pune"/>
        <s v="Narhe, Pune"/>
        <s v="Fursungi, Pune"/>
        <s v="Mundhwa, Pune"/>
        <s v="Shrirampur"/>
        <s v="Sangamner"/>
        <s v="Rahata"/>
        <s v="Rahuri"/>
        <s v="Pathardi"/>
        <s v="Nevasa"/>
        <s v="Shevgaon"/>
        <s v="Jamkhed"/>
        <s v="Karjat, Ahilya Nagar, Maharashtra"/>
        <s v="Ahilya Nagar, Maharashtra City" u="1"/>
        <s v="Ahmednagar, Maharashtra" u="1"/>
        <s v="Ahilya Nagar City" u="1"/>
        <s v="Karjat, Ahilya Nagar" u="1"/>
      </sharedItems>
    </cacheField>
    <cacheField name="Status" numFmtId="0">
      <sharedItems count="2">
        <s v="OUT"/>
        <s v="I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kit" refreshedDate="46208.537445023147" createdVersion="8" refreshedVersion="8" minRefreshableVersion="3" recordCount="295" xr:uid="{F76BE3FB-33AD-4BAD-8AFD-9D7413872BED}">
  <cacheSource type="worksheet">
    <worksheetSource name="tblAttendance"/>
  </cacheSource>
  <cacheFields count="14">
    <cacheField name="SrNo" numFmtId="0">
      <sharedItems containsSemiMixedTypes="0" containsString="0" containsNumber="1" containsInteger="1" minValue="1" maxValue="295"/>
    </cacheField>
    <cacheField name="Student_ID" numFmtId="0">
      <sharedItems/>
    </cacheField>
    <cacheField name="Name" numFmtId="0">
      <sharedItems/>
    </cacheField>
    <cacheField name="Course" numFmtId="0">
      <sharedItems/>
    </cacheField>
    <cacheField name="Mobile" numFmtId="0">
      <sharedItems containsSemiMixedTypes="0" containsString="0" containsNumber="1" containsInteger="1" minValue="9834512701" maxValue="9876501276"/>
    </cacheField>
    <cacheField name="Date" numFmtId="164">
      <sharedItems containsSemiMixedTypes="0" containsNonDate="0" containsDate="1" containsString="0" minDate="2026-06-29T00:00:00" maxDate="2026-07-06T00:00:00" count="5">
        <d v="2026-06-29T00:00:00"/>
        <d v="2026-07-01T00:00:00"/>
        <d v="2026-07-03T00:00:00"/>
        <d v="2026-07-04T00:00:00"/>
        <d v="2026-07-05T00:00:00"/>
      </sharedItems>
      <fieldGroup par="13"/>
    </cacheField>
    <cacheField name="In_Time" numFmtId="165">
      <sharedItems containsSemiMixedTypes="0" containsNonDate="0" containsDate="1" containsString="0" minDate="1899-12-30T11:50:19" maxDate="1899-12-30T19:27:50"/>
    </cacheField>
    <cacheField name="Out_Time" numFmtId="165">
      <sharedItems containsNonDate="0" containsDate="1" containsString="0" containsBlank="1" minDate="1899-12-30T11:50:44" maxDate="1899-12-30T20:01:03"/>
    </cacheField>
    <cacheField name="Month" numFmtId="165">
      <sharedItems count="2">
        <s v="Jun"/>
        <s v="Jul"/>
      </sharedItems>
    </cacheField>
    <cacheField name="Year" numFmtId="165">
      <sharedItems/>
    </cacheField>
    <cacheField name="Day" numFmtId="165">
      <sharedItems count="5">
        <s v="Monday"/>
        <s v="Wednesday"/>
        <s v="Friday"/>
        <s v="Saturday"/>
        <s v="Sunday"/>
      </sharedItems>
    </cacheField>
    <cacheField name="Area" numFmtId="165">
      <sharedItems/>
    </cacheField>
    <cacheField name="Days (Date)" numFmtId="0" databaseField="0">
      <fieldGroup base="5">
        <rangePr groupBy="days" startDate="2026-06-29T00:00:00" endDate="2026-07-06T00:00:00"/>
        <groupItems count="368">
          <s v="&lt;29-06-26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6-07-26"/>
        </groupItems>
      </fieldGroup>
    </cacheField>
    <cacheField name="Months (Date)" numFmtId="0" databaseField="0">
      <fieldGroup base="5">
        <rangePr groupBy="months" startDate="2026-06-29T00:00:00" endDate="2026-07-06T00:00:00"/>
        <groupItems count="14">
          <s v="&lt;29-06-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6-07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4"/>
  </r>
  <r>
    <x v="1"/>
    <n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ST1001"/>
    <s v="Aarav Rajesh Sharma"/>
    <n v="9876501201"/>
    <x v="0"/>
    <x v="0"/>
    <x v="0"/>
  </r>
  <r>
    <s v="ST1002"/>
    <s v="Ananya Sunil Patil"/>
    <n v="9876501202"/>
    <x v="1"/>
    <x v="1"/>
    <x v="0"/>
  </r>
  <r>
    <s v="ST1003"/>
    <s v="Vivaan Sanjay Gupta"/>
    <n v="9876501203"/>
    <x v="2"/>
    <x v="2"/>
    <x v="0"/>
  </r>
  <r>
    <s v="ST1004"/>
    <s v="Diya Mahesh Joshi"/>
    <n v="9876501204"/>
    <x v="1"/>
    <x v="3"/>
    <x v="0"/>
  </r>
  <r>
    <s v="ST1005"/>
    <s v="Aditya Prakash Kulkarni"/>
    <n v="9876501205"/>
    <x v="1"/>
    <x v="4"/>
    <x v="0"/>
  </r>
  <r>
    <s v="ST1006"/>
    <s v="Isha Vijay Deshmukh"/>
    <n v="9876501206"/>
    <x v="2"/>
    <x v="5"/>
    <x v="0"/>
  </r>
  <r>
    <s v="ST1007"/>
    <s v="Arjun Rakesh Mehta"/>
    <n v="9876501207"/>
    <x v="2"/>
    <x v="0"/>
    <x v="0"/>
  </r>
  <r>
    <s v="ST1008"/>
    <s v="Kavya Manoj Singh"/>
    <n v="9876501208"/>
    <x v="1"/>
    <x v="6"/>
    <x v="0"/>
  </r>
  <r>
    <s v="ST1009"/>
    <s v="Rohan Suresh Nair"/>
    <n v="9876501209"/>
    <x v="0"/>
    <x v="7"/>
    <x v="0"/>
  </r>
  <r>
    <s v="ST1010"/>
    <s v="Sneha Dinesh Verma"/>
    <n v="9876501210"/>
    <x v="0"/>
    <x v="8"/>
    <x v="0"/>
  </r>
  <r>
    <s v="ST1011"/>
    <s v="Karan Ashok Chavan"/>
    <n v="9876501211"/>
    <x v="1"/>
    <x v="9"/>
    <x v="0"/>
  </r>
  <r>
    <s v="ST1012"/>
    <s v="Priya Ramesh Yadav"/>
    <n v="9876501212"/>
    <x v="1"/>
    <x v="10"/>
    <x v="0"/>
  </r>
  <r>
    <s v="ST1013"/>
    <s v="Rahul Dilip More"/>
    <n v="9876501213"/>
    <x v="1"/>
    <x v="11"/>
    <x v="0"/>
  </r>
  <r>
    <s v="ST1014"/>
    <s v="Neha Anil Mishra"/>
    <n v="9876501214"/>
    <x v="2"/>
    <x v="12"/>
    <x v="0"/>
  </r>
  <r>
    <s v="ST1015"/>
    <s v="Siddharth Mukesh Jain"/>
    <n v="9876501215"/>
    <x v="2"/>
    <x v="13"/>
    <x v="0"/>
  </r>
  <r>
    <s v="ST1016"/>
    <s v="Pooja Shrikant Pawar"/>
    <n v="9876501216"/>
    <x v="0"/>
    <x v="14"/>
    <x v="0"/>
  </r>
  <r>
    <s v="ST1017"/>
    <s v="Akash Chandrakant Shinde"/>
    <n v="9876501217"/>
    <x v="2"/>
    <x v="0"/>
    <x v="0"/>
  </r>
  <r>
    <s v="ST1018"/>
    <s v="Riya Amit Kapoor"/>
    <n v="9876501218"/>
    <x v="0"/>
    <x v="15"/>
    <x v="0"/>
  </r>
  <r>
    <s v="ST1019"/>
    <s v="Nikhil Vinod Bhosale"/>
    <n v="9876501219"/>
    <x v="2"/>
    <x v="16"/>
    <x v="0"/>
  </r>
  <r>
    <s v="ST1020"/>
    <s v="Aditi Milind Kulkarni"/>
    <n v="9876501220"/>
    <x v="1"/>
    <x v="17"/>
    <x v="0"/>
  </r>
  <r>
    <s v="ST1021"/>
    <s v="Yash Ganesh Patil"/>
    <n v="9876501221"/>
    <x v="2"/>
    <x v="0"/>
    <x v="0"/>
  </r>
  <r>
    <s v="ST1022"/>
    <s v="Meera Krishnan Iyer"/>
    <n v="9876501222"/>
    <x v="2"/>
    <x v="18"/>
    <x v="0"/>
  </r>
  <r>
    <s v="ST1023"/>
    <s v="Omkar Shashikant Jadhav"/>
    <n v="9876501223"/>
    <x v="1"/>
    <x v="19"/>
    <x v="0"/>
  </r>
  <r>
    <s v="ST1024"/>
    <s v="Shruti Ravindra Naik"/>
    <n v="9876501224"/>
    <x v="0"/>
    <x v="20"/>
    <x v="0"/>
  </r>
  <r>
    <s v="ST1025"/>
    <s v="Harsh Deepak Agrawal"/>
    <n v="9876501225"/>
    <x v="0"/>
    <x v="21"/>
    <x v="0"/>
  </r>
  <r>
    <s v="ST1026"/>
    <s v="Sanika Uday Gokhale"/>
    <n v="9876501226"/>
    <x v="2"/>
    <x v="22"/>
    <x v="0"/>
  </r>
  <r>
    <s v="ST1027"/>
    <s v="Atharva Baban Salunkhe"/>
    <n v="9876501227"/>
    <x v="3"/>
    <x v="23"/>
    <x v="0"/>
  </r>
  <r>
    <s v="ST1028"/>
    <s v="Tanvi Pravin Bendre"/>
    <n v="9876501228"/>
    <x v="4"/>
    <x v="24"/>
    <x v="0"/>
  </r>
  <r>
    <s v="ST1029"/>
    <s v="Devendra Haribhau Kale"/>
    <n v="9876501229"/>
    <x v="2"/>
    <x v="25"/>
    <x v="0"/>
  </r>
  <r>
    <s v="ST1030"/>
    <s v="Sakshi Narendra Thakur"/>
    <n v="9876501230"/>
    <x v="2"/>
    <x v="26"/>
    <x v="0"/>
  </r>
  <r>
    <s v="ST1031"/>
    <s v="Pranav Santosh Raut"/>
    <n v="9876501231"/>
    <x v="5"/>
    <x v="27"/>
    <x v="0"/>
  </r>
  <r>
    <s v="ST1032"/>
    <s v="Mansi Rajendra Choudhary"/>
    <n v="9876501232"/>
    <x v="6"/>
    <x v="28"/>
    <x v="0"/>
  </r>
  <r>
    <s v="ST1033"/>
    <s v="Tushar Subhash Khedekar"/>
    <n v="9876501233"/>
    <x v="0"/>
    <x v="29"/>
    <x v="0"/>
  </r>
  <r>
    <s v="ST1034"/>
    <s v="Nandini Srinivas Rao"/>
    <n v="9876501234"/>
    <x v="7"/>
    <x v="30"/>
    <x v="0"/>
  </r>
  <r>
    <s v="ST1035"/>
    <s v="Abhishek Omprakash Tiwari"/>
    <n v="9876501235"/>
    <x v="3"/>
    <x v="31"/>
    <x v="1"/>
  </r>
  <r>
    <s v="ST1036"/>
    <s v="Muskan Imran Sheikh"/>
    <n v="9876501236"/>
    <x v="6"/>
    <x v="0"/>
    <x v="1"/>
  </r>
  <r>
    <s v="ST1037"/>
    <s v="Rohit Sunil Jagtap"/>
    <n v="9876501237"/>
    <x v="7"/>
    <x v="0"/>
    <x v="1"/>
  </r>
  <r>
    <s v="ST1038"/>
    <s v="Vaishnavi Prakash Pawar"/>
    <n v="9876501238"/>
    <x v="4"/>
    <x v="32"/>
    <x v="1"/>
  </r>
  <r>
    <s v="ST1039"/>
    <s v="Saurabh Mahadev Shinde"/>
    <n v="9876501239"/>
    <x v="2"/>
    <x v="4"/>
    <x v="1"/>
  </r>
  <r>
    <s v="ST1040"/>
    <s v="Snehal Vijay More"/>
    <n v="9876501240"/>
    <x v="3"/>
    <x v="0"/>
    <x v="1"/>
  </r>
  <r>
    <s v="ST1041"/>
    <s v="Omkar Dnyaneshwar Bhosale"/>
    <n v="9876501241"/>
    <x v="7"/>
    <x v="0"/>
    <x v="1"/>
  </r>
  <r>
    <s v="ST1042"/>
    <s v="Pooja Ashok Kale"/>
    <n v="9876501242"/>
    <x v="4"/>
    <x v="32"/>
    <x v="1"/>
  </r>
  <r>
    <s v="ST1043"/>
    <s v="Tejas Shrikant Patil"/>
    <n v="9876501243"/>
    <x v="8"/>
    <x v="4"/>
    <x v="1"/>
  </r>
  <r>
    <s v="ST1044"/>
    <s v="Aishwarya Ramesh Chavan"/>
    <n v="9876501244"/>
    <x v="6"/>
    <x v="0"/>
    <x v="1"/>
  </r>
  <r>
    <s v="ST1045"/>
    <s v="Nilesh Anil Ghadge"/>
    <n v="9876501245"/>
    <x v="4"/>
    <x v="0"/>
    <x v="1"/>
  </r>
  <r>
    <s v="ST1046"/>
    <s v="Prajakta Santosh Kadam"/>
    <n v="9876501246"/>
    <x v="2"/>
    <x v="32"/>
    <x v="1"/>
  </r>
  <r>
    <s v="ST1047"/>
    <s v="Shubham Rajendra Gaikwad"/>
    <n v="9876501247"/>
    <x v="6"/>
    <x v="4"/>
    <x v="1"/>
  </r>
  <r>
    <s v="ST1048"/>
    <s v="Komal Suresh Wagh"/>
    <n v="9876501248"/>
    <x v="4"/>
    <x v="0"/>
    <x v="1"/>
  </r>
  <r>
    <s v="ST1049"/>
    <s v="Abhijit Dilip Thorat"/>
    <n v="9876501249"/>
    <x v="9"/>
    <x v="0"/>
    <x v="1"/>
  </r>
  <r>
    <s v="ST1050"/>
    <s v="Rutuja Milind Jadhav"/>
    <n v="9876501250"/>
    <x v="3"/>
    <x v="32"/>
    <x v="1"/>
  </r>
  <r>
    <s v="ST1051"/>
    <s v="Harshal Chandrakant Salve"/>
    <n v="9876501251"/>
    <x v="3"/>
    <x v="4"/>
    <x v="1"/>
  </r>
  <r>
    <s v="ST1052"/>
    <s v="Sakshi Vinod Shingare"/>
    <n v="9876501252"/>
    <x v="9"/>
    <x v="0"/>
    <x v="1"/>
  </r>
  <r>
    <s v="ST1053"/>
    <s v="Ganesh Baban Dhumal"/>
    <n v="9876501253"/>
    <x v="6"/>
    <x v="0"/>
    <x v="1"/>
  </r>
  <r>
    <s v="ST1054"/>
    <s v="Nikita Subhash Bhise"/>
    <n v="9876501254"/>
    <x v="5"/>
    <x v="32"/>
    <x v="1"/>
  </r>
  <r>
    <s v="ST1055"/>
    <s v="Amol Pandurang Kharat"/>
    <n v="9876501255"/>
    <x v="4"/>
    <x v="4"/>
    <x v="1"/>
  </r>
  <r>
    <s v="ST1056"/>
    <s v="Shraddha Sharad Gorde"/>
    <n v="9876501256"/>
    <x v="5"/>
    <x v="0"/>
    <x v="1"/>
  </r>
  <r>
    <s v="ST1057"/>
    <s v="Pratik Shivaji Tupe"/>
    <n v="9876501257"/>
    <x v="0"/>
    <x v="0"/>
    <x v="1"/>
  </r>
  <r>
    <s v="ST1058"/>
    <s v="Minal Ravindra Doke"/>
    <n v="9876501258"/>
    <x v="5"/>
    <x v="32"/>
    <x v="1"/>
  </r>
  <r>
    <s v="ST1059"/>
    <s v="Vishal Pravin Kokate"/>
    <n v="9876501259"/>
    <x v="3"/>
    <x v="4"/>
    <x v="1"/>
  </r>
  <r>
    <s v="ST1060"/>
    <s v="Neha Kishor Dhage"/>
    <n v="9876501260"/>
    <x v="2"/>
    <x v="0"/>
    <x v="1"/>
  </r>
  <r>
    <s v="ST1061"/>
    <s v="Akshay Dattatraya Borude"/>
    <n v="9876501261"/>
    <x v="6"/>
    <x v="0"/>
    <x v="1"/>
  </r>
  <r>
    <s v="ST1062"/>
    <s v="Priti Balasaheb Nagare"/>
    <n v="9876501262"/>
    <x v="9"/>
    <x v="32"/>
    <x v="1"/>
  </r>
  <r>
    <s v="ST1063"/>
    <s v="Chetan Hanuman Gawali"/>
    <n v="9876501263"/>
    <x v="4"/>
    <x v="4"/>
    <x v="1"/>
  </r>
  <r>
    <s v="ST1064"/>
    <s v="Sonali Vilas Shelke"/>
    <n v="9876501264"/>
    <x v="2"/>
    <x v="0"/>
    <x v="1"/>
  </r>
  <r>
    <s v="ST1065"/>
    <s v="Swapnil Sopan Raut"/>
    <n v="9876501265"/>
    <x v="4"/>
    <x v="0"/>
    <x v="1"/>
  </r>
  <r>
    <s v="ST1066"/>
    <s v="Bhagyashree Eknath Pansare"/>
    <n v="9876501266"/>
    <x v="7"/>
    <x v="32"/>
    <x v="1"/>
  </r>
  <r>
    <s v="ST1067"/>
    <s v="Kunal Bharat Pawale"/>
    <n v="9876501267"/>
    <x v="4"/>
    <x v="4"/>
    <x v="1"/>
  </r>
  <r>
    <s v="ST1068"/>
    <s v="Monika Nitin Kute"/>
    <n v="9876501268"/>
    <x v="2"/>
    <x v="0"/>
    <x v="1"/>
  </r>
  <r>
    <s v="ST1069"/>
    <s v="Yogesh Tukaram Dhavale"/>
    <n v="9876501269"/>
    <x v="5"/>
    <x v="0"/>
    <x v="1"/>
  </r>
  <r>
    <s v="ST1070"/>
    <s v="Reshma Arun Kolhe"/>
    <n v="9876501270"/>
    <x v="5"/>
    <x v="4"/>
    <x v="1"/>
  </r>
  <r>
    <s v="ST1071"/>
    <s v="Aditya Ashok Londhe"/>
    <n v="9876501271"/>
    <x v="9"/>
    <x v="4"/>
    <x v="1"/>
  </r>
  <r>
    <s v="ST1072"/>
    <s v="Ruchita Mahendra Jare"/>
    <n v="9876501272"/>
    <x v="4"/>
    <x v="0"/>
    <x v="1"/>
  </r>
  <r>
    <s v="ST1073"/>
    <s v="Sanket Vijay Ghule"/>
    <n v="9876501273"/>
    <x v="2"/>
    <x v="0"/>
    <x v="1"/>
  </r>
  <r>
    <s v="ST1074"/>
    <s v="Shweta Sanjay Shelar"/>
    <n v="9876501274"/>
    <x v="0"/>
    <x v="32"/>
    <x v="1"/>
  </r>
  <r>
    <s v="ST1075"/>
    <s v="Ajinkya Narayan Wankhede"/>
    <n v="9876501275"/>
    <x v="4"/>
    <x v="4"/>
    <x v="1"/>
  </r>
  <r>
    <s v="ST1076"/>
    <s v="Pooja Dnyaneshwar Karale"/>
    <n v="9876501276"/>
    <x v="6"/>
    <x v="0"/>
    <x v="1"/>
  </r>
  <r>
    <s v="ST1077"/>
    <s v="Prathamesh Dnyaneshwar Jadhav"/>
    <n v="9834512701"/>
    <x v="1"/>
    <x v="33"/>
    <x v="1"/>
  </r>
  <r>
    <s v="ST1078"/>
    <s v="Vaishnavi Ashok Pawar"/>
    <n v="9834512702"/>
    <x v="8"/>
    <x v="34"/>
    <x v="1"/>
  </r>
  <r>
    <s v="ST1079"/>
    <s v="Omkar Rajendra Kale"/>
    <n v="9834512703"/>
    <x v="8"/>
    <x v="35"/>
    <x v="1"/>
  </r>
  <r>
    <s v="ST1080"/>
    <s v="Snehal Sunil Ghadge"/>
    <n v="9834512704"/>
    <x v="0"/>
    <x v="36"/>
    <x v="1"/>
  </r>
  <r>
    <s v="ST1081"/>
    <s v="Tejas Vilas Shinde"/>
    <n v="9834512705"/>
    <x v="2"/>
    <x v="37"/>
    <x v="1"/>
  </r>
  <r>
    <s v="ST1082"/>
    <s v="Aditi Prakash More"/>
    <n v="9834512706"/>
    <x v="4"/>
    <x v="38"/>
    <x v="1"/>
  </r>
  <r>
    <s v="ST1083"/>
    <s v="Sanket Dattatraya Chavan"/>
    <n v="9834512707"/>
    <x v="3"/>
    <x v="39"/>
    <x v="1"/>
  </r>
  <r>
    <s v="ST1084"/>
    <s v="Rutuja Mahendra Gaikwad"/>
    <n v="9834512708"/>
    <x v="3"/>
    <x v="40"/>
    <x v="1"/>
  </r>
  <r>
    <s v="ST1085"/>
    <s v="Akshay Ravindra Bhosale"/>
    <n v="9834512709"/>
    <x v="6"/>
    <x v="41"/>
    <x v="1"/>
  </r>
  <r>
    <s v="ST1086"/>
    <s v="Komal Sanjay Kharat"/>
    <n v="9834512710"/>
    <x v="8"/>
    <x v="42"/>
    <x v="1"/>
  </r>
  <r>
    <s v="ST1087"/>
    <s v="Rohit Shrikant Wagh"/>
    <n v="9834512711"/>
    <x v="3"/>
    <x v="43"/>
    <x v="1"/>
  </r>
  <r>
    <s v="ST1088"/>
    <s v="Pooja Vijay Dhumal"/>
    <n v="9834512712"/>
    <x v="9"/>
    <x v="44"/>
    <x v="1"/>
  </r>
  <r>
    <s v="ST1089"/>
    <s v="Nikhil Ashok Thorat"/>
    <n v="9834512713"/>
    <x v="7"/>
    <x v="45"/>
    <x v="1"/>
  </r>
  <r>
    <s v="ST1090"/>
    <s v="Mansi Santosh Gawali"/>
    <n v="9834512714"/>
    <x v="4"/>
    <x v="46"/>
    <x v="1"/>
  </r>
  <r>
    <s v="ST1091"/>
    <s v="Aditya Chandrakant Salunkhe"/>
    <n v="9834512715"/>
    <x v="2"/>
    <x v="47"/>
    <x v="0"/>
  </r>
  <r>
    <s v="ST1092"/>
    <s v="Sakshi Ganesh Jare"/>
    <n v="9834512716"/>
    <x v="2"/>
    <x v="48"/>
    <x v="0"/>
  </r>
  <r>
    <s v="ST1093"/>
    <s v="Harshal Pandurang Tupe"/>
    <n v="9834512717"/>
    <x v="5"/>
    <x v="49"/>
    <x v="0"/>
  </r>
  <r>
    <s v="ST1094"/>
    <s v="Nikita Suresh Shelke"/>
    <n v="9834512718"/>
    <x v="6"/>
    <x v="50"/>
    <x v="0"/>
  </r>
  <r>
    <s v="ST1095"/>
    <s v="Yogesh Pravin Dhage"/>
    <n v="9834512719"/>
    <x v="0"/>
    <x v="51"/>
    <x v="0"/>
  </r>
  <r>
    <s v="ST1096"/>
    <s v="Reshma Balasaheb Kute"/>
    <n v="9834512720"/>
    <x v="0"/>
    <x v="52"/>
    <x v="0"/>
  </r>
  <r>
    <s v="ST1097"/>
    <s v="Shubham Bharat Kokate"/>
    <n v="9834512721"/>
    <x v="1"/>
    <x v="53"/>
    <x v="0"/>
  </r>
  <r>
    <s v="ST1098"/>
    <s v="Sonali Arun Borude"/>
    <n v="9834512722"/>
    <x v="1"/>
    <x v="54"/>
    <x v="0"/>
  </r>
  <r>
    <s v="ST1099"/>
    <s v="Chetan Kishor Ghule"/>
    <n v="9834512723"/>
    <x v="0"/>
    <x v="55"/>
    <x v="0"/>
  </r>
  <r>
    <s v="ST1100"/>
    <s v="Monika Nitin Karale"/>
    <n v="9834512724"/>
    <x v="8"/>
    <x v="56"/>
    <x v="0"/>
  </r>
  <r>
    <s v="ST1101"/>
    <s v="Ganesh Eknath Pawale"/>
    <n v="9834512725"/>
    <x v="8"/>
    <x v="57"/>
    <x v="0"/>
  </r>
  <r>
    <s v="ST1102"/>
    <s v="Shraddha Tukaram Kolhe"/>
    <n v="9834512726"/>
    <x v="6"/>
    <x v="10"/>
    <x v="0"/>
  </r>
  <r>
    <s v="ST1103"/>
    <s v="Vishal Sharad Nagare"/>
    <n v="9834512727"/>
    <x v="5"/>
    <x v="58"/>
    <x v="0"/>
  </r>
  <r>
    <s v="ST1104"/>
    <s v="Prajakta Baban Doke"/>
    <n v="9834512728"/>
    <x v="5"/>
    <x v="59"/>
    <x v="0"/>
  </r>
  <r>
    <s v="ST1105"/>
    <s v="Amol Shivaji Dhavale"/>
    <n v="9834512729"/>
    <x v="2"/>
    <x v="60"/>
    <x v="0"/>
  </r>
  <r>
    <s v="ST1106"/>
    <s v="Sanika Haribhau Khedkar"/>
    <n v="9834512730"/>
    <x v="2"/>
    <x v="61"/>
    <x v="0"/>
  </r>
  <r>
    <s v="ST1107"/>
    <s v="Devendra Ramesh Pansare"/>
    <n v="9834512731"/>
    <x v="4"/>
    <x v="62"/>
    <x v="0"/>
  </r>
  <r>
    <s v="ST1108"/>
    <s v="Bhagyashree Vinod Bhise"/>
    <n v="9834512732"/>
    <x v="7"/>
    <x v="63"/>
    <x v="0"/>
  </r>
  <r>
    <s v="ST1109"/>
    <s v="Tushar Milind Londhe"/>
    <n v="9834512733"/>
    <x v="9"/>
    <x v="64"/>
    <x v="0"/>
  </r>
  <r>
    <s v="ST1110"/>
    <s v="Neha Shashikant Gorde"/>
    <n v="9834512734"/>
    <x v="3"/>
    <x v="65"/>
    <x v="0"/>
  </r>
  <r>
    <s v="ST1111"/>
    <s v="Kunal Dnyaneshwar Raut"/>
    <n v="9834512735"/>
    <x v="7"/>
    <x v="66"/>
    <x v="0"/>
  </r>
  <r>
    <s v="ST1112"/>
    <s v="Aniket Prakash Rathod"/>
    <n v="9584672315"/>
    <x v="5"/>
    <x v="0"/>
    <x v="0"/>
  </r>
  <r>
    <s v="ST1113"/>
    <s v="Sanket Pandhari More"/>
    <n v="9855647524"/>
    <x v="1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">
  <r>
    <n v="1"/>
    <s v="ST1002"/>
    <s v="Ananya Sunil Patil"/>
    <s v="AI BI ANALYST"/>
    <n v="9876501202"/>
    <x v="0"/>
    <d v="1899-12-30T19:11:52"/>
    <d v="1899-12-30T19:17:31"/>
    <x v="0"/>
    <s v="2026"/>
    <x v="0"/>
    <s v="Nashik, Maharashtra"/>
  </r>
  <r>
    <n v="2"/>
    <s v="ST1005"/>
    <s v="Aditya Prakash Kulkarni"/>
    <s v="AI BI ANALYST"/>
    <n v="9876501205"/>
    <x v="0"/>
    <d v="1899-12-30T19:11:59"/>
    <d v="1899-12-30T19:16:25"/>
    <x v="0"/>
    <s v="2026"/>
    <x v="0"/>
    <s v="Chhatrapati Sambhajinagar, Maharashtra"/>
  </r>
  <r>
    <n v="3"/>
    <s v="ST1009"/>
    <s v="Rohan Suresh Nair"/>
    <s v="AI/ML ENGINEER"/>
    <n v="9876501209"/>
    <x v="0"/>
    <d v="1899-12-30T19:12:05"/>
    <d v="1899-12-30T19:18:35"/>
    <x v="0"/>
    <s v="2026"/>
    <x v="0"/>
    <s v="Solapur, Maharashtra"/>
  </r>
  <r>
    <n v="4"/>
    <s v="ST1010"/>
    <s v="Sneha Dinesh Verma"/>
    <s v="AI/ML ENGINEER"/>
    <n v="9876501210"/>
    <x v="0"/>
    <d v="1899-12-30T19:12:12"/>
    <d v="1899-12-30T19:18:41"/>
    <x v="0"/>
    <s v="2026"/>
    <x v="0"/>
    <s v="Satara, Maharashtra"/>
  </r>
  <r>
    <n v="5"/>
    <s v="ST1018"/>
    <s v="Riya Amit Kapoor"/>
    <s v="AI/ML ENGINEER"/>
    <n v="9876501218"/>
    <x v="0"/>
    <d v="1899-12-30T19:12:18"/>
    <d v="1899-12-30T19:20:05"/>
    <x v="0"/>
    <s v="2026"/>
    <x v="0"/>
    <s v="Thane, Maharashtra"/>
  </r>
  <r>
    <n v="6"/>
    <s v="ST1058"/>
    <s v="Minal Ravindra Doke"/>
    <s v="COMPLIANCE AUDIT ANALYST"/>
    <n v="9876501258"/>
    <x v="0"/>
    <d v="1899-12-30T19:12:24"/>
    <d v="1899-12-30T19:16:41"/>
    <x v="0"/>
    <s v="2026"/>
    <x v="0"/>
    <s v="Ahilya Nagar, Maharashtra, Maharashtra"/>
  </r>
  <r>
    <n v="7"/>
    <s v="ST1059"/>
    <s v="Vishal Pravin Kokate"/>
    <s v="AUTO CAD TECH"/>
    <n v="9876501259"/>
    <x v="0"/>
    <d v="1899-12-30T19:12:38"/>
    <d v="1899-12-30T19:58:27"/>
    <x v="0"/>
    <s v="2026"/>
    <x v="0"/>
    <s v="Chhatrapati Sambhajinagar, Maharashtra"/>
  </r>
  <r>
    <n v="8"/>
    <s v="ST1054"/>
    <s v="Nikita Subhash Bhise"/>
    <s v="COMPLIANCE AUDIT ANALYST"/>
    <n v="9876501254"/>
    <x v="0"/>
    <d v="1899-12-30T19:12:48"/>
    <d v="1899-12-30T19:57:56"/>
    <x v="0"/>
    <s v="2026"/>
    <x v="0"/>
    <s v="Ahilya Nagar, Maharashtra, Maharashtra"/>
  </r>
  <r>
    <n v="9"/>
    <s v="ST1057"/>
    <s v="Pratik Shivaji Tupe"/>
    <s v="AI/ML ENGINEER"/>
    <n v="9876501257"/>
    <x v="0"/>
    <d v="1899-12-30T19:12:55"/>
    <d v="1899-12-30T19:58:18"/>
    <x v="0"/>
    <s v="2026"/>
    <x v="0"/>
    <s v="Pune, Maharashtra"/>
  </r>
  <r>
    <n v="10"/>
    <s v="ST1036"/>
    <s v="Muskan Imran Sheikh"/>
    <s v="IOT NETWORK SPEC"/>
    <n v="9876501236"/>
    <x v="0"/>
    <d v="1899-12-30T19:13:01"/>
    <d v="1899-12-30T19:22:22"/>
    <x v="0"/>
    <s v="2026"/>
    <x v="0"/>
    <s v="Pune, Maharashtra"/>
  </r>
  <r>
    <n v="11"/>
    <s v="ST1025"/>
    <s v="Harsh Deepak Agrawal"/>
    <s v="AI/ML ENGINEER"/>
    <n v="9876501225"/>
    <x v="0"/>
    <d v="1899-12-30T19:13:07"/>
    <d v="1899-12-30T19:17:15"/>
    <x v="0"/>
    <s v="2026"/>
    <x v="0"/>
    <s v="Wardha, Maharashtra"/>
  </r>
  <r>
    <n v="12"/>
    <s v="ST1001"/>
    <s v="Aarav Rajesh Sharma"/>
    <s v="AI/ML ENGINEER"/>
    <n v="9876501201"/>
    <x v="0"/>
    <d v="1899-12-30T19:13:59"/>
    <d v="1899-12-30T19:17:25"/>
    <x v="0"/>
    <s v="2026"/>
    <x v="0"/>
    <s v="Pune, Maharashtra"/>
  </r>
  <r>
    <n v="13"/>
    <s v="ST1008"/>
    <s v="Kavya Manoj Singh"/>
    <s v="AI BI ANALYST"/>
    <n v="9876501208"/>
    <x v="0"/>
    <d v="1899-12-30T19:14:05"/>
    <d v="1899-12-30T19:18:20"/>
    <x v="0"/>
    <s v="2026"/>
    <x v="0"/>
    <s v="Kolhapur, Maharashtra"/>
  </r>
  <r>
    <n v="14"/>
    <s v="ST1021"/>
    <s v="Yash Ganesh Patil"/>
    <s v="CLOUD APP DEV"/>
    <n v="9876501221"/>
    <x v="0"/>
    <d v="1899-12-30T19:14:14"/>
    <d v="1899-12-30T19:20:26"/>
    <x v="0"/>
    <s v="2026"/>
    <x v="0"/>
    <s v="Pune, Maharashtra"/>
  </r>
  <r>
    <n v="15"/>
    <s v="ST1022"/>
    <s v="Meera Krishnan Iyer"/>
    <s v="CLOUD APP DEV"/>
    <n v="9876501222"/>
    <x v="0"/>
    <d v="1899-12-30T19:14:20"/>
    <d v="1899-12-30T19:20:33"/>
    <x v="0"/>
    <s v="2026"/>
    <x v="0"/>
    <s v="Navi Mumbai, Maharashtra"/>
  </r>
  <r>
    <n v="16"/>
    <s v="ST1024"/>
    <s v="Shruti Ravindra Naik"/>
    <s v="AI/ML ENGINEER"/>
    <n v="9876501224"/>
    <x v="0"/>
    <d v="1899-12-30T19:14:26"/>
    <d v="1899-12-30T19:20:45"/>
    <x v="0"/>
    <s v="2026"/>
    <x v="0"/>
    <s v="Nanded, Maharashtra"/>
  </r>
  <r>
    <n v="17"/>
    <s v="ST1041"/>
    <s v="Omkar Dnyaneshwar Bhosale"/>
    <s v="EV PRODUCT DESIGN"/>
    <n v="9876501241"/>
    <x v="0"/>
    <d v="1899-12-30T19:14:35"/>
    <d v="1899-12-30T19:22:53"/>
    <x v="0"/>
    <s v="2026"/>
    <x v="0"/>
    <s v="Pune, Maharashtra"/>
  </r>
  <r>
    <n v="18"/>
    <s v="ST1056"/>
    <s v="Shraddha Sharad Gorde"/>
    <s v="COMPLIANCE AUDIT ANALYST"/>
    <n v="9876501256"/>
    <x v="0"/>
    <d v="1899-12-30T19:14:44"/>
    <d v="1899-12-30T19:58:13"/>
    <x v="0"/>
    <s v="2026"/>
    <x v="0"/>
    <s v="Pune, Maharashtra"/>
  </r>
  <r>
    <n v="19"/>
    <s v="ST1006"/>
    <s v="Isha Vijay Deshmukh"/>
    <s v="CLOUD APP DEV"/>
    <n v="9876501206"/>
    <x v="0"/>
    <d v="1899-12-30T19:15:01"/>
    <d v="1899-12-30T19:18:03"/>
    <x v="0"/>
    <s v="2026"/>
    <x v="0"/>
    <s v="Jalna, Maharashtra"/>
  </r>
  <r>
    <n v="20"/>
    <s v="ST1032"/>
    <s v="Mansi Rajendra Choudhary"/>
    <s v="IOT NETWORK SPEC"/>
    <n v="9876501232"/>
    <x v="0"/>
    <d v="1899-12-30T19:15:09"/>
    <d v="1899-12-30T19:21:42"/>
    <x v="0"/>
    <s v="2026"/>
    <x v="0"/>
    <s v="Yavatmal, Maharashtra "/>
  </r>
  <r>
    <n v="21"/>
    <s v="ST1084"/>
    <s v="Rutuja Mahendra Gaikwad"/>
    <s v="AUTO CAD TECH"/>
    <n v="9834512708"/>
    <x v="0"/>
    <d v="1899-12-30T19:15:21"/>
    <d v="1899-12-30T20:01:03"/>
    <x v="0"/>
    <s v="2026"/>
    <x v="0"/>
    <s v="Pimpri, Pune"/>
  </r>
  <r>
    <n v="22"/>
    <s v="ST1078"/>
    <s v="Vaishnavi Ashok Pawar"/>
    <s v="IOT DOMAIN SPEC"/>
    <n v="9834512702"/>
    <x v="0"/>
    <d v="1899-12-30T19:17:05"/>
    <d v="1899-12-30T20:00:12"/>
    <x v="0"/>
    <s v="2026"/>
    <x v="0"/>
    <s v="Wagholi, Pune"/>
  </r>
  <r>
    <n v="23"/>
    <s v="ST1003"/>
    <s v="Vivaan Sanjay Gupta"/>
    <s v="CLOUD APP DEV"/>
    <n v="9876501203"/>
    <x v="0"/>
    <d v="1899-12-30T19:17:40"/>
    <d v="1899-12-30T19:53:22"/>
    <x v="0"/>
    <s v="2026"/>
    <x v="0"/>
    <s v="Nagpur, Maharashtra"/>
  </r>
  <r>
    <n v="24"/>
    <s v="ST1004"/>
    <s v="Diya Mahesh Joshi"/>
    <s v="AI BI ANALYST"/>
    <n v="9876501204"/>
    <x v="0"/>
    <d v="1899-12-30T19:17:46"/>
    <d v="1899-12-30T19:53:28"/>
    <x v="0"/>
    <s v="2026"/>
    <x v="0"/>
    <s v="Mumbai, Maharashtra"/>
  </r>
  <r>
    <n v="25"/>
    <s v="ST1005"/>
    <s v="Aditya Prakash Kulkarni"/>
    <s v="AI BI ANALYST"/>
    <n v="9876501205"/>
    <x v="0"/>
    <d v="1899-12-30T19:17:56"/>
    <d v="1899-12-30T19:53:35"/>
    <x v="0"/>
    <s v="2026"/>
    <x v="0"/>
    <s v="Chhatrapati Sambhajinagar, Maharashtra"/>
  </r>
  <r>
    <n v="26"/>
    <s v="ST1007"/>
    <s v="Arjun Rakesh Mehta"/>
    <s v="CLOUD APP DEV"/>
    <n v="9876501207"/>
    <x v="0"/>
    <d v="1899-12-30T19:18:10"/>
    <d v="1899-12-30T19:53:45"/>
    <x v="0"/>
    <s v="2026"/>
    <x v="0"/>
    <s v="Pune, Maharashtra"/>
  </r>
  <r>
    <n v="27"/>
    <s v="ST1008"/>
    <s v="Kavya Manoj Singh"/>
    <s v="AI BI ANALYST"/>
    <n v="9876501208"/>
    <x v="0"/>
    <d v="1899-12-30T19:18:22"/>
    <d v="1899-12-30T19:18:25"/>
    <x v="0"/>
    <s v="2026"/>
    <x v="0"/>
    <s v="Kolhapur, Maharashtra"/>
  </r>
  <r>
    <n v="28"/>
    <s v="ST1011"/>
    <s v="Karan Ashok Chavan"/>
    <s v="AI BI ANALYST"/>
    <n v="9876501211"/>
    <x v="0"/>
    <d v="1899-12-30T19:18:47"/>
    <d v="1899-12-30T19:54:08"/>
    <x v="0"/>
    <s v="2026"/>
    <x v="0"/>
    <s v="Sangli, Maharashtra"/>
  </r>
  <r>
    <n v="29"/>
    <s v="ST1012"/>
    <s v="Priya Ramesh Yadav"/>
    <s v="AI BI ANALYST"/>
    <n v="9876501212"/>
    <x v="0"/>
    <d v="1899-12-30T19:18:53"/>
    <d v="1899-12-30T19:19:25"/>
    <x v="0"/>
    <s v="2026"/>
    <x v="0"/>
    <s v="Ahilya Nagar, Maharashtra"/>
  </r>
  <r>
    <n v="30"/>
    <s v="ST1013"/>
    <s v="Rahul Dilip More"/>
    <s v="AI BI ANALYST"/>
    <n v="9876501213"/>
    <x v="0"/>
    <d v="1899-12-30T19:19:31"/>
    <d v="1899-12-30T19:54:17"/>
    <x v="0"/>
    <s v="2026"/>
    <x v="0"/>
    <s v="Beed, Maharashtra"/>
  </r>
  <r>
    <n v="31"/>
    <s v="ST1014"/>
    <s v="Neha Anil Mishra"/>
    <s v="CLOUD APP DEV"/>
    <n v="9876501214"/>
    <x v="0"/>
    <d v="1899-12-30T19:19:36"/>
    <d v="1899-12-30T19:54:23"/>
    <x v="0"/>
    <s v="2026"/>
    <x v="0"/>
    <s v="Latur, Maharashtra"/>
  </r>
  <r>
    <n v="32"/>
    <s v="ST1015"/>
    <s v="Siddharth Mukesh Jain"/>
    <s v="CLOUD APP DEV"/>
    <n v="9876501215"/>
    <x v="0"/>
    <d v="1899-12-30T19:19:41"/>
    <d v="1899-12-30T19:54:29"/>
    <x v="0"/>
    <s v="2026"/>
    <x v="0"/>
    <s v="Akola, Maharashtra"/>
  </r>
  <r>
    <n v="33"/>
    <s v="ST1016"/>
    <s v="Pooja Shrikant Pawar"/>
    <s v="AI/ML ENGINEER"/>
    <n v="9876501216"/>
    <x v="0"/>
    <d v="1899-12-30T19:19:51"/>
    <d v="1899-12-30T19:54:35"/>
    <x v="0"/>
    <s v="2026"/>
    <x v="0"/>
    <s v="Dharashiv, Maharashtra"/>
  </r>
  <r>
    <n v="34"/>
    <s v="ST1017"/>
    <s v="Akash Chandrakant Shinde"/>
    <s v="CLOUD APP DEV"/>
    <n v="9876501217"/>
    <x v="0"/>
    <d v="1899-12-30T19:19:57"/>
    <d v="1899-12-30T19:54:41"/>
    <x v="0"/>
    <s v="2026"/>
    <x v="0"/>
    <s v="Pune, Maharashtra"/>
  </r>
  <r>
    <n v="35"/>
    <s v="ST1019"/>
    <s v="Nikhil Vinod Bhosale"/>
    <s v="CLOUD APP DEV"/>
    <n v="9876501219"/>
    <x v="0"/>
    <d v="1899-12-30T19:20:11"/>
    <d v="1899-12-30T19:54:50"/>
    <x v="0"/>
    <s v="2026"/>
    <x v="0"/>
    <s v="Jalgaon, Maharashtra"/>
  </r>
  <r>
    <n v="36"/>
    <s v="ST1020"/>
    <s v="Aditi Milind Kulkarni"/>
    <s v="AI BI ANALYST"/>
    <n v="9876501220"/>
    <x v="0"/>
    <d v="1899-12-30T19:20:17"/>
    <d v="1899-12-30T19:54:56"/>
    <x v="0"/>
    <s v="2026"/>
    <x v="0"/>
    <s v="Amravati, Maharashtra"/>
  </r>
  <r>
    <n v="37"/>
    <s v="ST1023"/>
    <s v="Omkar Shashikant Jadhav"/>
    <s v="AI BI ANALYST"/>
    <n v="9876501223"/>
    <x v="0"/>
    <d v="1899-12-30T19:20:39"/>
    <d v="1899-12-30T19:55:12"/>
    <x v="0"/>
    <s v="2026"/>
    <x v="0"/>
    <s v="Parbhani, Maharashtra"/>
  </r>
  <r>
    <n v="38"/>
    <s v="ST1025"/>
    <s v="Harsh Deepak Agrawal"/>
    <s v="AI/ML ENGINEER"/>
    <n v="9876501225"/>
    <x v="0"/>
    <d v="1899-12-30T19:20:53"/>
    <d v="1899-12-30T19:55:25"/>
    <x v="0"/>
    <s v="2026"/>
    <x v="0"/>
    <s v="Wardha, Maharashtra"/>
  </r>
  <r>
    <n v="39"/>
    <s v="ST1026"/>
    <s v="Sanika Uday Gokhale"/>
    <s v="CLOUD APP DEV"/>
    <n v="9876501226"/>
    <x v="0"/>
    <d v="1899-12-30T19:20:59"/>
    <d v="1899-12-30T19:55:30"/>
    <x v="0"/>
    <s v="2026"/>
    <x v="0"/>
    <s v="Chandrapur, Maharashtra"/>
  </r>
  <r>
    <n v="40"/>
    <s v="ST1027"/>
    <s v="Atharva Baban Salunkhe"/>
    <s v="AUTO CAD TECH"/>
    <n v="9876501227"/>
    <x v="0"/>
    <d v="1899-12-30T19:21:05"/>
    <d v="1899-12-30T19:55:35"/>
    <x v="0"/>
    <s v="2026"/>
    <x v="0"/>
    <s v="Ratnagiri, Maharashtra"/>
  </r>
  <r>
    <n v="41"/>
    <s v="ST1028"/>
    <s v="Tanvi Pravin Bendre"/>
    <s v="ASSEMBLY OP (RAC)"/>
    <n v="9876501228"/>
    <x v="0"/>
    <d v="1899-12-30T19:21:13"/>
    <d v="1899-12-30T19:55:39"/>
    <x v="0"/>
    <s v="2026"/>
    <x v="0"/>
    <s v="Sindhudurg, Maharashtra"/>
  </r>
  <r>
    <n v="42"/>
    <s v="ST1029"/>
    <s v="Devendra Haribhau Kale"/>
    <s v="CLOUD APP DEV"/>
    <n v="9876501229"/>
    <x v="0"/>
    <d v="1899-12-30T19:21:20"/>
    <d v="1899-12-30T19:55:46"/>
    <x v="0"/>
    <s v="2026"/>
    <x v="0"/>
    <s v="Hingoli, Maharashtra"/>
  </r>
  <r>
    <n v="43"/>
    <s v="ST1030"/>
    <s v="Sakshi Narendra Thakur"/>
    <s v="CLOUD APP DEV"/>
    <n v="9876501230"/>
    <x v="0"/>
    <d v="1899-12-30T19:21:30"/>
    <d v="1899-12-30T19:55:51"/>
    <x v="0"/>
    <s v="2026"/>
    <x v="0"/>
    <s v="Washim, Maharashtra"/>
  </r>
  <r>
    <n v="44"/>
    <s v="ST1031"/>
    <s v="Pranav Santosh Raut"/>
    <s v="COMPLIANCE AUDIT ANALYST"/>
    <n v="9876501231"/>
    <x v="0"/>
    <d v="1899-12-30T19:21:36"/>
    <d v="1899-12-30T19:55:56"/>
    <x v="0"/>
    <s v="2026"/>
    <x v="0"/>
    <s v="Buldhana, Maharashtra"/>
  </r>
  <r>
    <n v="45"/>
    <s v="ST1033"/>
    <s v="Tushar Subhash Khedekar"/>
    <s v="AI/ML ENGINEER"/>
    <n v="9876501233"/>
    <x v="0"/>
    <d v="1899-12-30T19:21:51"/>
    <d v="1899-12-30T19:56:10"/>
    <x v="0"/>
    <s v="2026"/>
    <x v="0"/>
    <s v="Gondia, Maharashtra"/>
  </r>
  <r>
    <n v="46"/>
    <s v="ST1034"/>
    <s v="Nandini Srinivas Rao"/>
    <s v="EV PRODUCT DESIGN"/>
    <n v="9876501234"/>
    <x v="0"/>
    <d v="1899-12-30T19:22:02"/>
    <d v="1899-12-30T19:56:16"/>
    <x v="0"/>
    <s v="2026"/>
    <x v="0"/>
    <s v="Gadchiroli, Maharashtra"/>
  </r>
  <r>
    <n v="47"/>
    <s v="ST1035"/>
    <s v="Abhishek Omprakash Tiwari"/>
    <s v="AUTO CAD TECH"/>
    <n v="9876501235"/>
    <x v="0"/>
    <d v="1899-12-30T19:22:14"/>
    <d v="1899-12-30T19:56:21"/>
    <x v="0"/>
    <s v="2026"/>
    <x v="0"/>
    <s v="Dhule, Maharashtra"/>
  </r>
  <r>
    <n v="48"/>
    <s v="ST1037"/>
    <s v="Rohit Sunil Jagtap"/>
    <s v="EV PRODUCT DESIGN"/>
    <n v="9876501237"/>
    <x v="0"/>
    <d v="1899-12-30T19:22:28"/>
    <d v="1899-12-30T19:56:26"/>
    <x v="0"/>
    <s v="2026"/>
    <x v="0"/>
    <s v="Pune, Maharashtra"/>
  </r>
  <r>
    <n v="49"/>
    <s v="ST1038"/>
    <s v="Vaishnavi Prakash Pawar"/>
    <s v="ASSEMBLY OP (RAC)"/>
    <n v="9876501238"/>
    <x v="0"/>
    <d v="1899-12-30T19:22:34"/>
    <d v="1899-12-30T19:56:33"/>
    <x v="0"/>
    <s v="2026"/>
    <x v="0"/>
    <s v="Ahilya Nagar, Maharashtra, Maharashtra"/>
  </r>
  <r>
    <n v="50"/>
    <s v="ST1039"/>
    <s v="Saurabh Mahadev Shinde"/>
    <s v="CLOUD APP DEV"/>
    <n v="9876501239"/>
    <x v="0"/>
    <d v="1899-12-30T19:22:39"/>
    <d v="1899-12-30T19:56:40"/>
    <x v="0"/>
    <s v="2026"/>
    <x v="0"/>
    <s v="Chhatrapati Sambhajinagar, Maharashtra"/>
  </r>
  <r>
    <n v="51"/>
    <s v="ST1040"/>
    <s v="Snehal Vijay More"/>
    <s v="AUTO CAD TECH"/>
    <n v="9876501240"/>
    <x v="0"/>
    <d v="1899-12-30T19:22:46"/>
    <d v="1899-12-30T19:56:44"/>
    <x v="0"/>
    <s v="2026"/>
    <x v="0"/>
    <s v="Pune, Maharashtra"/>
  </r>
  <r>
    <n v="52"/>
    <s v="ST1042"/>
    <s v="Pooja Ashok Kale"/>
    <s v="ASSEMBLY OP (RAC)"/>
    <n v="9876501242"/>
    <x v="0"/>
    <d v="1899-12-30T19:22:58"/>
    <d v="1899-12-30T19:56:53"/>
    <x v="0"/>
    <s v="2026"/>
    <x v="0"/>
    <s v="Ahilya Nagar, Maharashtra, Maharashtra"/>
  </r>
  <r>
    <n v="53"/>
    <s v="ST1043"/>
    <s v="Tejas Shrikant Patil"/>
    <s v="IOT DOMAIN SPEC"/>
    <n v="9876501243"/>
    <x v="0"/>
    <d v="1899-12-30T19:23:04"/>
    <d v="1899-12-30T19:56:58"/>
    <x v="0"/>
    <s v="2026"/>
    <x v="0"/>
    <s v="Chhatrapati Sambhajinagar, Maharashtra"/>
  </r>
  <r>
    <n v="54"/>
    <s v="ST1044"/>
    <s v="Aishwarya Ramesh Chavan"/>
    <s v="IOT NETWORK SPEC"/>
    <n v="9876501244"/>
    <x v="0"/>
    <d v="1899-12-30T19:23:13"/>
    <d v="1899-12-30T19:57:02"/>
    <x v="0"/>
    <s v="2026"/>
    <x v="0"/>
    <s v="Pune, Maharashtra"/>
  </r>
  <r>
    <n v="55"/>
    <s v="ST1045"/>
    <s v="Nilesh Anil Ghadge"/>
    <s v="ASSEMBLY OP (RAC)"/>
    <n v="9876501245"/>
    <x v="0"/>
    <d v="1899-12-30T19:23:23"/>
    <d v="1899-12-30T19:57:07"/>
    <x v="0"/>
    <s v="2026"/>
    <x v="0"/>
    <s v="Pune, Maharashtra"/>
  </r>
  <r>
    <n v="56"/>
    <s v="ST1046"/>
    <s v="Prajakta Santosh Kadam"/>
    <s v="CLOUD APP DEV"/>
    <n v="9876501246"/>
    <x v="0"/>
    <d v="1899-12-30T19:23:32"/>
    <d v="1899-12-30T19:57:12"/>
    <x v="0"/>
    <s v="2026"/>
    <x v="0"/>
    <s v="Ahilya Nagar, Maharashtra, Maharashtra"/>
  </r>
  <r>
    <n v="57"/>
    <s v="ST1047"/>
    <s v="Shubham Rajendra Gaikwad"/>
    <s v="IOT NETWORK SPEC"/>
    <n v="9876501247"/>
    <x v="0"/>
    <d v="1899-12-30T19:23:39"/>
    <d v="1899-12-30T19:57:17"/>
    <x v="0"/>
    <s v="2026"/>
    <x v="0"/>
    <s v="Chhatrapati Sambhajinagar, Maharashtra"/>
  </r>
  <r>
    <n v="58"/>
    <s v="ST1048"/>
    <s v="Komal Suresh Wagh"/>
    <s v="ASSEMBLY OP (RAC)"/>
    <n v="9876501248"/>
    <x v="0"/>
    <d v="1899-12-30T19:23:44"/>
    <d v="1899-12-30T19:57:21"/>
    <x v="0"/>
    <s v="2026"/>
    <x v="0"/>
    <s v="Pune, Maharashtra"/>
  </r>
  <r>
    <n v="59"/>
    <s v="ST1049"/>
    <s v="Abhijit Dilip Thorat"/>
    <s v="AUTO ASSEMBLY TECH"/>
    <n v="9876501249"/>
    <x v="0"/>
    <d v="1899-12-30T19:23:50"/>
    <d v="1899-12-30T19:57:28"/>
    <x v="0"/>
    <s v="2026"/>
    <x v="0"/>
    <s v="Pune, Maharashtra"/>
  </r>
  <r>
    <n v="60"/>
    <s v="ST1050"/>
    <s v="Rutuja Milind Jadhav"/>
    <s v="AUTO CAD TECH"/>
    <n v="9876501250"/>
    <x v="0"/>
    <d v="1899-12-30T19:24:05"/>
    <d v="1899-12-30T19:57:35"/>
    <x v="0"/>
    <s v="2026"/>
    <x v="0"/>
    <s v="Ahilya Nagar, Maharashtra, Maharashtra"/>
  </r>
  <r>
    <n v="61"/>
    <s v="ST1051"/>
    <s v="Harshal Chandrakant Salve"/>
    <s v="AUTO CAD TECH"/>
    <n v="9876501251"/>
    <x v="0"/>
    <d v="1899-12-30T19:24:16"/>
    <d v="1899-12-30T19:57:39"/>
    <x v="0"/>
    <s v="2026"/>
    <x v="0"/>
    <s v="Chhatrapati Sambhajinagar, Maharashtra"/>
  </r>
  <r>
    <n v="62"/>
    <s v="ST1052"/>
    <s v="Sakshi Vinod Shingare"/>
    <s v="AUTO ASSEMBLY TECH"/>
    <n v="9876501252"/>
    <x v="0"/>
    <d v="1899-12-30T19:24:23"/>
    <d v="1899-12-30T19:57:45"/>
    <x v="0"/>
    <s v="2026"/>
    <x v="0"/>
    <s v="Pune, Maharashtra"/>
  </r>
  <r>
    <n v="63"/>
    <s v="ST1053"/>
    <s v="Ganesh Baban Dhumal"/>
    <s v="IOT NETWORK SPEC"/>
    <n v="9876501253"/>
    <x v="0"/>
    <d v="1899-12-30T19:24:31"/>
    <d v="1899-12-30T19:57:50"/>
    <x v="0"/>
    <s v="2026"/>
    <x v="0"/>
    <s v="Pune, Maharashtra"/>
  </r>
  <r>
    <n v="64"/>
    <s v="ST1055"/>
    <s v="Amol Pandurang Kharat"/>
    <s v="ASSEMBLY OP (RAC)"/>
    <n v="9876501255"/>
    <x v="0"/>
    <d v="1899-12-30T19:24:49"/>
    <d v="1899-12-30T19:58:03"/>
    <x v="0"/>
    <s v="2026"/>
    <x v="0"/>
    <s v="Chhatrapati Sambhajinagar, Maharashtra"/>
  </r>
  <r>
    <n v="65"/>
    <s v="ST1058"/>
    <s v="Minal Ravindra Doke"/>
    <s v="COMPLIANCE AUDIT ANALYST"/>
    <n v="9876501258"/>
    <x v="0"/>
    <d v="1899-12-30T19:25:08"/>
    <d v="1899-12-30T19:58:23"/>
    <x v="0"/>
    <s v="2026"/>
    <x v="0"/>
    <s v="Ahilya Nagar, Maharashtra, Maharashtra"/>
  </r>
  <r>
    <n v="66"/>
    <s v="ST1060"/>
    <s v="Neha Kishor Dhage"/>
    <s v="CLOUD APP DEV"/>
    <n v="9876501260"/>
    <x v="0"/>
    <d v="1899-12-30T19:25:30"/>
    <d v="1899-12-30T19:58:34"/>
    <x v="0"/>
    <s v="2026"/>
    <x v="0"/>
    <s v="Pune, Maharashtra"/>
  </r>
  <r>
    <n v="67"/>
    <s v="ST1061"/>
    <s v="Akshay Dattatraya Borude"/>
    <s v="IOT NETWORK SPEC"/>
    <n v="9876501261"/>
    <x v="0"/>
    <d v="1899-12-30T19:25:36"/>
    <d v="1899-12-30T19:58:44"/>
    <x v="0"/>
    <s v="2026"/>
    <x v="0"/>
    <s v="Pune, Maharashtra"/>
  </r>
  <r>
    <n v="68"/>
    <s v="ST1062"/>
    <s v="Priti Balasaheb Nagare"/>
    <s v="AUTO ASSEMBLY TECH"/>
    <n v="9876501262"/>
    <x v="0"/>
    <d v="1899-12-30T19:25:41"/>
    <d v="1899-12-30T19:58:49"/>
    <x v="0"/>
    <s v="2026"/>
    <x v="0"/>
    <s v="Ahilya Nagar, Maharashtra, Maharashtra"/>
  </r>
  <r>
    <n v="69"/>
    <s v="ST1063"/>
    <s v="Chetan Hanuman Gawali"/>
    <s v="ASSEMBLY OP (RAC)"/>
    <n v="9876501263"/>
    <x v="0"/>
    <d v="1899-12-30T19:25:48"/>
    <d v="1899-12-30T19:58:53"/>
    <x v="0"/>
    <s v="2026"/>
    <x v="0"/>
    <s v="Chhatrapati Sambhajinagar, Maharashtra"/>
  </r>
  <r>
    <n v="70"/>
    <s v="ST1064"/>
    <s v="Sonali Vilas Shelke"/>
    <s v="CLOUD APP DEV"/>
    <n v="9876501264"/>
    <x v="0"/>
    <d v="1899-12-30T19:25:53"/>
    <d v="1899-12-30T19:58:58"/>
    <x v="0"/>
    <s v="2026"/>
    <x v="0"/>
    <s v="Pune, Maharashtra"/>
  </r>
  <r>
    <n v="71"/>
    <s v="ST1065"/>
    <s v="Swapnil Sopan Raut"/>
    <s v="ASSEMBLY OP (RAC)"/>
    <n v="9876501265"/>
    <x v="0"/>
    <d v="1899-12-30T19:25:58"/>
    <d v="1899-12-30T19:59:03"/>
    <x v="0"/>
    <s v="2026"/>
    <x v="0"/>
    <s v="Pune, Maharashtra"/>
  </r>
  <r>
    <n v="72"/>
    <s v="ST1066"/>
    <s v="Bhagyashree Eknath Pansare"/>
    <s v="EV PRODUCT DESIGN"/>
    <n v="9876501266"/>
    <x v="0"/>
    <d v="1899-12-30T19:26:10"/>
    <d v="1899-12-30T19:59:10"/>
    <x v="0"/>
    <s v="2026"/>
    <x v="0"/>
    <s v="Ahilya Nagar, Maharashtra, Maharashtra"/>
  </r>
  <r>
    <n v="73"/>
    <s v="ST1067"/>
    <s v="Kunal Bharat Pawale"/>
    <s v="ASSEMBLY OP (RAC)"/>
    <n v="9876501267"/>
    <x v="0"/>
    <d v="1899-12-30T19:26:16"/>
    <d v="1899-12-30T19:59:14"/>
    <x v="0"/>
    <s v="2026"/>
    <x v="0"/>
    <s v="Chhatrapati Sambhajinagar, Maharashtra"/>
  </r>
  <r>
    <n v="74"/>
    <s v="ST1068"/>
    <s v="Monika Nitin Kute"/>
    <s v="CLOUD APP DEV"/>
    <n v="9876501268"/>
    <x v="0"/>
    <d v="1899-12-30T19:26:22"/>
    <d v="1899-12-30T19:59:19"/>
    <x v="0"/>
    <s v="2026"/>
    <x v="0"/>
    <s v="Pune, Maharashtra"/>
  </r>
  <r>
    <n v="75"/>
    <s v="ST1069"/>
    <s v="Yogesh Tukaram Dhavale"/>
    <s v="COMPLIANCE AUDIT ANALYST"/>
    <n v="9876501269"/>
    <x v="0"/>
    <d v="1899-12-30T19:26:28"/>
    <d v="1899-12-30T19:59:25"/>
    <x v="0"/>
    <s v="2026"/>
    <x v="0"/>
    <s v="Pune, Maharashtra"/>
  </r>
  <r>
    <n v="76"/>
    <s v="ST1070"/>
    <s v="Reshma Arun Kolhe"/>
    <s v="COMPLIANCE AUDIT ANALYST"/>
    <n v="9876501270"/>
    <x v="0"/>
    <d v="1899-12-30T19:26:33"/>
    <d v="1899-12-30T19:59:30"/>
    <x v="0"/>
    <s v="2026"/>
    <x v="0"/>
    <s v="Chhatrapati Sambhajinagar, Maharashtra"/>
  </r>
  <r>
    <n v="77"/>
    <s v="ST1071"/>
    <s v="Aditya Ashok Londhe"/>
    <s v="AUTO ASSEMBLY TECH"/>
    <n v="9876501271"/>
    <x v="0"/>
    <d v="1899-12-30T19:26:38"/>
    <d v="1899-12-30T19:59:35"/>
    <x v="0"/>
    <s v="2026"/>
    <x v="0"/>
    <s v="Chhatrapati Sambhajinagar, Maharashtra"/>
  </r>
  <r>
    <n v="78"/>
    <s v="ST1072"/>
    <s v="Ruchita Mahendra Jare"/>
    <s v="ASSEMBLY OP (RAC)"/>
    <n v="9876501272"/>
    <x v="0"/>
    <d v="1899-12-30T19:26:44"/>
    <d v="1899-12-30T19:59:39"/>
    <x v="0"/>
    <s v="2026"/>
    <x v="0"/>
    <s v="Pune, Maharashtra"/>
  </r>
  <r>
    <n v="79"/>
    <s v="ST1073"/>
    <s v="Sanket Vijay Ghule"/>
    <s v="CLOUD APP DEV"/>
    <n v="9876501273"/>
    <x v="0"/>
    <d v="1899-12-30T19:26:50"/>
    <d v="1899-12-30T19:59:43"/>
    <x v="0"/>
    <s v="2026"/>
    <x v="0"/>
    <s v="Pune, Maharashtra"/>
  </r>
  <r>
    <n v="80"/>
    <s v="ST1074"/>
    <s v="Shweta Sanjay Shelar"/>
    <s v="AI/ML ENGINEER"/>
    <n v="9876501274"/>
    <x v="0"/>
    <d v="1899-12-30T19:26:56"/>
    <d v="1899-12-30T19:59:47"/>
    <x v="0"/>
    <s v="2026"/>
    <x v="0"/>
    <s v="Ahilya Nagar, Maharashtra, Maharashtra"/>
  </r>
  <r>
    <n v="81"/>
    <s v="ST1075"/>
    <s v="Ajinkya Narayan Wankhede"/>
    <s v="ASSEMBLY OP (RAC)"/>
    <n v="9876501275"/>
    <x v="0"/>
    <d v="1899-12-30T19:27:01"/>
    <d v="1899-12-30T19:59:53"/>
    <x v="0"/>
    <s v="2026"/>
    <x v="0"/>
    <s v="Chhatrapati Sambhajinagar, Maharashtra"/>
  </r>
  <r>
    <n v="82"/>
    <s v="ST1076"/>
    <s v="Pooja Dnyaneshwar Karale"/>
    <s v="IOT NETWORK SPEC"/>
    <n v="9876501276"/>
    <x v="0"/>
    <d v="1899-12-30T19:27:07"/>
    <d v="1899-12-30T19:59:58"/>
    <x v="0"/>
    <s v="2026"/>
    <x v="0"/>
    <s v="Pune, Maharashtra"/>
  </r>
  <r>
    <n v="83"/>
    <s v="ST1077"/>
    <s v="Prathamesh Dnyaneshwar Jadhav"/>
    <s v="AI BI ANALYST"/>
    <n v="9834512701"/>
    <x v="0"/>
    <d v="1899-12-30T19:27:12"/>
    <d v="1899-12-30T20:00:05"/>
    <x v="0"/>
    <s v="2026"/>
    <x v="0"/>
    <s v="Hadapsar, Pune"/>
  </r>
  <r>
    <n v="84"/>
    <s v="ST1079"/>
    <s v="Omkar Rajendra Kale"/>
    <s v="IOT DOMAIN SPEC"/>
    <n v="9834512703"/>
    <x v="0"/>
    <d v="1899-12-30T19:27:26"/>
    <d v="1899-12-30T20:00:17"/>
    <x v="0"/>
    <s v="2026"/>
    <x v="0"/>
    <s v="Chakan, Pune"/>
  </r>
  <r>
    <n v="85"/>
    <s v="ST1080"/>
    <s v="Snehal Sunil Ghadge"/>
    <s v="AI/ML ENGINEER"/>
    <n v="9834512704"/>
    <x v="0"/>
    <d v="1899-12-30T19:27:31"/>
    <d v="1899-12-30T20:00:42"/>
    <x v="0"/>
    <s v="2026"/>
    <x v="0"/>
    <s v="Kharadi, Pune"/>
  </r>
  <r>
    <n v="86"/>
    <s v="ST1081"/>
    <s v="Tejas Vilas Shinde"/>
    <s v="CLOUD APP DEV"/>
    <n v="9834512705"/>
    <x v="0"/>
    <d v="1899-12-30T19:27:36"/>
    <d v="1899-12-30T20:00:48"/>
    <x v="0"/>
    <s v="2026"/>
    <x v="0"/>
    <s v="Hinjawadi, Pune"/>
  </r>
  <r>
    <n v="87"/>
    <s v="ST1082"/>
    <s v="Aditi Prakash More"/>
    <s v="ASSEMBLY OP (RAC)"/>
    <n v="9834512706"/>
    <x v="0"/>
    <d v="1899-12-30T19:27:42"/>
    <d v="1899-12-30T20:00:53"/>
    <x v="0"/>
    <s v="2026"/>
    <x v="0"/>
    <s v="Baner, Pune"/>
  </r>
  <r>
    <n v="88"/>
    <s v="ST1083"/>
    <s v="Sanket Dattatraya Chavan"/>
    <s v="AUTO CAD TECH"/>
    <n v="9834512707"/>
    <x v="0"/>
    <d v="1899-12-30T19:27:50"/>
    <d v="1899-12-30T20:00:58"/>
    <x v="0"/>
    <s v="2026"/>
    <x v="0"/>
    <s v="Wakad, Pune"/>
  </r>
  <r>
    <n v="89"/>
    <s v="ST1001"/>
    <s v="Aarav Rajesh Sharma"/>
    <s v="AI/ML ENGINEER"/>
    <n v="9876501201"/>
    <x v="1"/>
    <d v="1899-12-30T18:40:26"/>
    <d v="1899-12-30T18:48:51"/>
    <x v="1"/>
    <s v="2026"/>
    <x v="1"/>
    <s v="Pune, Maharashtra"/>
  </r>
  <r>
    <n v="90"/>
    <s v="ST1002"/>
    <s v="Ananya Sunil Patil"/>
    <s v="AI BI ANALYST"/>
    <n v="9876501202"/>
    <x v="1"/>
    <d v="1899-12-30T18:40:33"/>
    <d v="1899-12-30T18:49:01"/>
    <x v="1"/>
    <s v="2026"/>
    <x v="1"/>
    <s v="Nashik, Maharashtra"/>
  </r>
  <r>
    <n v="91"/>
    <s v="ST1003"/>
    <s v="Vivaan Sanjay Gupta"/>
    <s v="CLOUD APP DEV"/>
    <n v="9876501203"/>
    <x v="1"/>
    <d v="1899-12-30T18:40:40"/>
    <d v="1899-12-30T18:49:09"/>
    <x v="1"/>
    <s v="2026"/>
    <x v="1"/>
    <s v="Nagpur, Maharashtra"/>
  </r>
  <r>
    <n v="92"/>
    <s v="ST1004"/>
    <s v="Diya Mahesh Joshi"/>
    <s v="AI BI ANALYST"/>
    <n v="9876501204"/>
    <x v="1"/>
    <d v="1899-12-30T18:40:46"/>
    <d v="1899-12-30T18:49:18"/>
    <x v="1"/>
    <s v="2026"/>
    <x v="1"/>
    <s v="Mumbai, Maharashtra"/>
  </r>
  <r>
    <n v="93"/>
    <s v="ST1005"/>
    <s v="Aditya Prakash Kulkarni"/>
    <s v="AI BI ANALYST"/>
    <n v="9876501205"/>
    <x v="1"/>
    <d v="1899-12-30T18:41:29"/>
    <d v="1899-12-30T18:49:23"/>
    <x v="1"/>
    <s v="2026"/>
    <x v="1"/>
    <s v="Chhatrapati Sambhajinagar, Maharashtra"/>
  </r>
  <r>
    <n v="94"/>
    <s v="ST1006"/>
    <s v="Isha Vijay Deshmukh"/>
    <s v="CLOUD APP DEV"/>
    <n v="9876501206"/>
    <x v="1"/>
    <d v="1899-12-30T18:41:35"/>
    <d v="1899-12-30T18:49:29"/>
    <x v="1"/>
    <s v="2026"/>
    <x v="1"/>
    <s v="Jalna, Maharashtra"/>
  </r>
  <r>
    <n v="95"/>
    <s v="ST1007"/>
    <s v="Arjun Rakesh Mehta"/>
    <s v="CLOUD APP DEV"/>
    <n v="9876501207"/>
    <x v="1"/>
    <d v="1899-12-30T18:41:39"/>
    <d v="1899-12-30T18:49:33"/>
    <x v="1"/>
    <s v="2026"/>
    <x v="1"/>
    <s v="Pune, Maharashtra"/>
  </r>
  <r>
    <n v="96"/>
    <s v="ST1008"/>
    <s v="Kavya Manoj Singh"/>
    <s v="AI BI ANALYST"/>
    <n v="9876501208"/>
    <x v="1"/>
    <d v="1899-12-30T18:41:43"/>
    <d v="1899-12-30T18:49:37"/>
    <x v="1"/>
    <s v="2026"/>
    <x v="1"/>
    <s v="Kolhapur, Maharashtra"/>
  </r>
  <r>
    <n v="97"/>
    <s v="ST1009"/>
    <s v="Rohan Suresh Nair"/>
    <s v="AI/ML ENGINEER"/>
    <n v="9876501209"/>
    <x v="1"/>
    <d v="1899-12-30T18:41:47"/>
    <d v="1899-12-30T18:49:42"/>
    <x v="1"/>
    <s v="2026"/>
    <x v="1"/>
    <s v="Solapur, Maharashtra"/>
  </r>
  <r>
    <n v="98"/>
    <s v="ST1010"/>
    <s v="Sneha Dinesh Verma"/>
    <s v="AI/ML ENGINEER"/>
    <n v="9876501210"/>
    <x v="1"/>
    <d v="1899-12-30T18:41:51"/>
    <d v="1899-12-30T18:49:54"/>
    <x v="1"/>
    <s v="2026"/>
    <x v="1"/>
    <s v="Satara, Maharashtra"/>
  </r>
  <r>
    <n v="99"/>
    <s v="ST1011"/>
    <s v="Karan Ashok Chavan"/>
    <s v="AI BI ANALYST"/>
    <n v="9876501211"/>
    <x v="1"/>
    <d v="1899-12-30T18:41:56"/>
    <d v="1899-12-30T18:49:58"/>
    <x v="1"/>
    <s v="2026"/>
    <x v="1"/>
    <s v="Sangli, Maharashtra"/>
  </r>
  <r>
    <n v="100"/>
    <s v="ST1012"/>
    <s v="Priya Ramesh Yadav"/>
    <s v="AI BI ANALYST"/>
    <n v="9876501212"/>
    <x v="1"/>
    <d v="1899-12-30T18:41:59"/>
    <d v="1899-12-30T18:50:02"/>
    <x v="1"/>
    <s v="2026"/>
    <x v="1"/>
    <s v="Ahilya Nagar, Maharashtra"/>
  </r>
  <r>
    <n v="101"/>
    <s v="ST1013"/>
    <s v="Rahul Dilip More"/>
    <s v="AI BI ANALYST"/>
    <n v="9876501213"/>
    <x v="1"/>
    <d v="1899-12-30T18:42:02"/>
    <d v="1899-12-30T18:50:06"/>
    <x v="1"/>
    <s v="2026"/>
    <x v="1"/>
    <s v="Beed, Maharashtra"/>
  </r>
  <r>
    <n v="102"/>
    <s v="ST1014"/>
    <s v="Neha Anil Mishra"/>
    <s v="CLOUD APP DEV"/>
    <n v="9876501214"/>
    <x v="1"/>
    <d v="1899-12-30T18:42:10"/>
    <d v="1899-12-30T18:50:11"/>
    <x v="1"/>
    <s v="2026"/>
    <x v="1"/>
    <s v="Latur, Maharashtra"/>
  </r>
  <r>
    <n v="103"/>
    <s v="ST1015"/>
    <s v="Siddharth Mukesh Jain"/>
    <s v="CLOUD APP DEV"/>
    <n v="9876501215"/>
    <x v="1"/>
    <d v="1899-12-30T18:42:14"/>
    <d v="1899-12-30T18:50:16"/>
    <x v="1"/>
    <s v="2026"/>
    <x v="1"/>
    <s v="Akola, Maharashtra"/>
  </r>
  <r>
    <n v="104"/>
    <s v="ST1016"/>
    <s v="Pooja Shrikant Pawar"/>
    <s v="AI/ML ENGINEER"/>
    <n v="9876501216"/>
    <x v="1"/>
    <d v="1899-12-30T18:42:17"/>
    <d v="1899-12-30T18:50:20"/>
    <x v="1"/>
    <s v="2026"/>
    <x v="1"/>
    <s v="Dharashiv, Maharashtra"/>
  </r>
  <r>
    <n v="105"/>
    <s v="ST1017"/>
    <s v="Akash Chandrakant Shinde"/>
    <s v="CLOUD APP DEV"/>
    <n v="9876501217"/>
    <x v="1"/>
    <d v="1899-12-30T18:42:22"/>
    <d v="1899-12-30T18:50:28"/>
    <x v="1"/>
    <s v="2026"/>
    <x v="1"/>
    <s v="Pune, Maharashtra"/>
  </r>
  <r>
    <n v="106"/>
    <s v="ST1018"/>
    <s v="Riya Amit Kapoor"/>
    <s v="AI/ML ENGINEER"/>
    <n v="9876501218"/>
    <x v="1"/>
    <d v="1899-12-30T18:42:25"/>
    <d v="1899-12-30T18:50:35"/>
    <x v="1"/>
    <s v="2026"/>
    <x v="1"/>
    <s v="Thane, Maharashtra"/>
  </r>
  <r>
    <n v="107"/>
    <s v="ST1019"/>
    <s v="Nikhil Vinod Bhosale"/>
    <s v="CLOUD APP DEV"/>
    <n v="9876501219"/>
    <x v="1"/>
    <d v="1899-12-30T18:42:35"/>
    <d v="1899-12-30T18:50:44"/>
    <x v="1"/>
    <s v="2026"/>
    <x v="1"/>
    <s v="Jalgaon, Maharashtra"/>
  </r>
  <r>
    <n v="108"/>
    <s v="ST1020"/>
    <s v="Aditi Milind Kulkarni"/>
    <s v="AI BI ANALYST"/>
    <n v="9876501220"/>
    <x v="1"/>
    <d v="1899-12-30T18:42:40"/>
    <d v="1899-12-30T18:50:49"/>
    <x v="1"/>
    <s v="2026"/>
    <x v="1"/>
    <s v="Amravati, Maharashtra"/>
  </r>
  <r>
    <n v="109"/>
    <s v="ST1023"/>
    <s v="Omkar Shashikant Jadhav"/>
    <s v="AI BI ANALYST"/>
    <n v="9876501223"/>
    <x v="1"/>
    <d v="1899-12-30T18:42:47"/>
    <d v="1899-12-30T18:51:21"/>
    <x v="1"/>
    <s v="2026"/>
    <x v="1"/>
    <s v="Parbhani, Maharashtra"/>
  </r>
  <r>
    <n v="110"/>
    <s v="ST1024"/>
    <s v="Shruti Ravindra Naik"/>
    <s v="AI/ML ENGINEER"/>
    <n v="9876501224"/>
    <x v="1"/>
    <d v="1899-12-30T18:42:51"/>
    <d v="1899-12-30T18:51:25"/>
    <x v="1"/>
    <s v="2026"/>
    <x v="1"/>
    <s v="Nanded, Maharashtra"/>
  </r>
  <r>
    <n v="111"/>
    <s v="ST1025"/>
    <s v="Harsh Deepak Agrawal"/>
    <s v="AI/ML ENGINEER"/>
    <n v="9876501225"/>
    <x v="1"/>
    <d v="1899-12-30T18:42:55"/>
    <d v="1899-12-30T18:51:28"/>
    <x v="1"/>
    <s v="2026"/>
    <x v="1"/>
    <s v="Wardha, Maharashtra"/>
  </r>
  <r>
    <n v="112"/>
    <s v="ST1026"/>
    <s v="Sanika Uday Gokhale"/>
    <s v="CLOUD APP DEV"/>
    <n v="9876501226"/>
    <x v="1"/>
    <d v="1899-12-30T18:42:58"/>
    <d v="1899-12-30T18:51:40"/>
    <x v="1"/>
    <s v="2026"/>
    <x v="1"/>
    <s v="Chandrapur, Maharashtra"/>
  </r>
  <r>
    <n v="113"/>
    <s v="ST1027"/>
    <s v="Atharva Baban Salunkhe"/>
    <s v="AUTO CAD TECH"/>
    <n v="9876501227"/>
    <x v="1"/>
    <d v="1899-12-30T18:43:03"/>
    <d v="1899-12-30T18:52:32"/>
    <x v="1"/>
    <s v="2026"/>
    <x v="1"/>
    <s v="Ratnagiri, Maharashtra"/>
  </r>
  <r>
    <n v="114"/>
    <s v="ST1028"/>
    <s v="Tanvi Pravin Bendre"/>
    <s v="ASSEMBLY OP (RAC)"/>
    <n v="9876501228"/>
    <x v="1"/>
    <d v="1899-12-30T18:43:08"/>
    <d v="1899-12-30T18:52:40"/>
    <x v="1"/>
    <s v="2026"/>
    <x v="1"/>
    <s v="Sindhudurg, Maharashtra"/>
  </r>
  <r>
    <n v="115"/>
    <s v="ST1029"/>
    <s v="Devendra Haribhau Kale"/>
    <s v="CLOUD APP DEV"/>
    <n v="9876501229"/>
    <x v="1"/>
    <d v="1899-12-30T18:43:12"/>
    <d v="1899-12-30T18:52:46"/>
    <x v="1"/>
    <s v="2026"/>
    <x v="1"/>
    <s v="Hingoli, Maharashtra"/>
  </r>
  <r>
    <n v="116"/>
    <s v="ST1030"/>
    <s v="Sakshi Narendra Thakur"/>
    <s v="CLOUD APP DEV"/>
    <n v="9876501230"/>
    <x v="1"/>
    <d v="1899-12-30T18:43:16"/>
    <d v="1899-12-30T18:52:51"/>
    <x v="1"/>
    <s v="2026"/>
    <x v="1"/>
    <s v="Washim, Maharashtra"/>
  </r>
  <r>
    <n v="117"/>
    <s v="ST1031"/>
    <s v="Pranav Santosh Raut"/>
    <s v="COMPLIANCE AUDIT ANALYST"/>
    <n v="9876501231"/>
    <x v="1"/>
    <d v="1899-12-30T18:43:19"/>
    <d v="1899-12-30T18:52:55"/>
    <x v="1"/>
    <s v="2026"/>
    <x v="1"/>
    <s v="Buldhana, Maharashtra"/>
  </r>
  <r>
    <n v="118"/>
    <s v="ST1032"/>
    <s v="Mansi Rajendra Choudhary"/>
    <s v="IOT NETWORK SPEC"/>
    <n v="9876501232"/>
    <x v="1"/>
    <d v="1899-12-30T18:43:23"/>
    <d v="1899-12-30T18:53:02"/>
    <x v="1"/>
    <s v="2026"/>
    <x v="1"/>
    <s v="Yavatmal, Maharashtra "/>
  </r>
  <r>
    <n v="119"/>
    <s v="ST1033"/>
    <s v="Tushar Subhash Khedekar"/>
    <s v="AI/ML ENGINEER"/>
    <n v="9876501233"/>
    <x v="1"/>
    <d v="1899-12-30T18:43:28"/>
    <d v="1899-12-30T18:53:05"/>
    <x v="1"/>
    <s v="2026"/>
    <x v="1"/>
    <s v="Gondia, Maharashtra"/>
  </r>
  <r>
    <n v="120"/>
    <s v="ST1034"/>
    <s v="Nandini Srinivas Rao"/>
    <s v="EV PRODUCT DESIGN"/>
    <n v="9876501234"/>
    <x v="1"/>
    <d v="1899-12-30T18:43:33"/>
    <d v="1899-12-30T18:53:12"/>
    <x v="1"/>
    <s v="2026"/>
    <x v="1"/>
    <s v="Gadchiroli, Maharashtra"/>
  </r>
  <r>
    <n v="121"/>
    <s v="ST1035"/>
    <s v="Abhishek Omprakash Tiwari"/>
    <s v="AUTO CAD TECH"/>
    <n v="9876501235"/>
    <x v="1"/>
    <d v="1899-12-30T18:43:40"/>
    <d v="1899-12-30T18:53:17"/>
    <x v="1"/>
    <s v="2026"/>
    <x v="1"/>
    <s v="Dhule, Maharashtra"/>
  </r>
  <r>
    <n v="122"/>
    <s v="ST1036"/>
    <s v="Muskan Imran Sheikh"/>
    <s v="IOT NETWORK SPEC"/>
    <n v="9876501236"/>
    <x v="1"/>
    <d v="1899-12-30T18:43:44"/>
    <d v="1899-12-30T18:53:21"/>
    <x v="1"/>
    <s v="2026"/>
    <x v="1"/>
    <s v="Pune, Maharashtra"/>
  </r>
  <r>
    <n v="123"/>
    <s v="ST1037"/>
    <s v="Rohit Sunil Jagtap"/>
    <s v="EV PRODUCT DESIGN"/>
    <n v="9876501237"/>
    <x v="1"/>
    <d v="1899-12-30T18:43:47"/>
    <d v="1899-12-30T18:53:25"/>
    <x v="1"/>
    <s v="2026"/>
    <x v="1"/>
    <s v="Pune, Maharashtra"/>
  </r>
  <r>
    <n v="124"/>
    <s v="ST1038"/>
    <s v="Vaishnavi Prakash Pawar"/>
    <s v="ASSEMBLY OP (RAC)"/>
    <n v="9876501238"/>
    <x v="1"/>
    <d v="1899-12-30T18:43:51"/>
    <d v="1899-12-30T18:53:29"/>
    <x v="1"/>
    <s v="2026"/>
    <x v="1"/>
    <s v="Ahilya Nagar, Maharashtra, Maharashtra"/>
  </r>
  <r>
    <n v="125"/>
    <s v="ST1039"/>
    <s v="Saurabh Mahadev Shinde"/>
    <s v="CLOUD APP DEV"/>
    <n v="9876501239"/>
    <x v="1"/>
    <d v="1899-12-30T18:43:54"/>
    <d v="1899-12-30T18:53:36"/>
    <x v="1"/>
    <s v="2026"/>
    <x v="1"/>
    <s v="Chhatrapati Sambhajinagar, Maharashtra"/>
  </r>
  <r>
    <n v="126"/>
    <s v="ST1040"/>
    <s v="Snehal Vijay More"/>
    <s v="AUTO CAD TECH"/>
    <n v="9876501240"/>
    <x v="1"/>
    <d v="1899-12-30T18:43:59"/>
    <d v="1899-12-30T18:53:40"/>
    <x v="1"/>
    <s v="2026"/>
    <x v="1"/>
    <s v="Pune, Maharashtra"/>
  </r>
  <r>
    <n v="127"/>
    <s v="ST1041"/>
    <s v="Omkar Dnyaneshwar Bhosale"/>
    <s v="EV PRODUCT DESIGN"/>
    <n v="9876501241"/>
    <x v="1"/>
    <d v="1899-12-30T18:44:02"/>
    <d v="1899-12-30T18:54:25"/>
    <x v="1"/>
    <s v="2026"/>
    <x v="1"/>
    <s v="Pune, Maharashtra"/>
  </r>
  <r>
    <n v="128"/>
    <s v="ST1042"/>
    <s v="Pooja Ashok Kale"/>
    <s v="ASSEMBLY OP (RAC)"/>
    <n v="9876501242"/>
    <x v="1"/>
    <d v="1899-12-30T18:44:06"/>
    <d v="1899-12-30T18:54:35"/>
    <x v="1"/>
    <s v="2026"/>
    <x v="1"/>
    <s v="Ahilya Nagar, Maharashtra, Maharashtra"/>
  </r>
  <r>
    <n v="129"/>
    <s v="ST1043"/>
    <s v="Tejas Shrikant Patil"/>
    <s v="IOT DOMAIN SPEC"/>
    <n v="9876501243"/>
    <x v="1"/>
    <d v="1899-12-30T18:44:10"/>
    <d v="1899-12-30T18:54:38"/>
    <x v="1"/>
    <s v="2026"/>
    <x v="1"/>
    <s v="Chhatrapati Sambhajinagar, Maharashtra"/>
  </r>
  <r>
    <n v="130"/>
    <s v="ST1044"/>
    <s v="Aishwarya Ramesh Chavan"/>
    <s v="IOT NETWORK SPEC"/>
    <n v="9876501244"/>
    <x v="1"/>
    <d v="1899-12-30T18:44:13"/>
    <d v="1899-12-30T18:54:48"/>
    <x v="1"/>
    <s v="2026"/>
    <x v="1"/>
    <s v="Pune, Maharashtra"/>
  </r>
  <r>
    <n v="131"/>
    <s v="ST1045"/>
    <s v="Nilesh Anil Ghadge"/>
    <s v="ASSEMBLY OP (RAC)"/>
    <n v="9876501245"/>
    <x v="1"/>
    <d v="1899-12-30T18:44:18"/>
    <d v="1899-12-30T18:54:52"/>
    <x v="1"/>
    <s v="2026"/>
    <x v="1"/>
    <s v="Pune, Maharashtra"/>
  </r>
  <r>
    <n v="132"/>
    <s v="ST1046"/>
    <s v="Prajakta Santosh Kadam"/>
    <s v="CLOUD APP DEV"/>
    <n v="9876501246"/>
    <x v="1"/>
    <d v="1899-12-30T18:44:22"/>
    <d v="1899-12-30T18:54:57"/>
    <x v="1"/>
    <s v="2026"/>
    <x v="1"/>
    <s v="Ahilya Nagar, Maharashtra, Maharashtra"/>
  </r>
  <r>
    <n v="133"/>
    <s v="ST1047"/>
    <s v="Shubham Rajendra Gaikwad"/>
    <s v="IOT NETWORK SPEC"/>
    <n v="9876501247"/>
    <x v="1"/>
    <d v="1899-12-30T18:44:25"/>
    <d v="1899-12-30T18:55:02"/>
    <x v="1"/>
    <s v="2026"/>
    <x v="1"/>
    <s v="Chhatrapati Sambhajinagar, Maharashtra"/>
  </r>
  <r>
    <n v="134"/>
    <s v="ST1048"/>
    <s v="Komal Suresh Wagh"/>
    <s v="ASSEMBLY OP (RAC)"/>
    <n v="9876501248"/>
    <x v="1"/>
    <d v="1899-12-30T18:44:29"/>
    <d v="1899-12-30T18:55:09"/>
    <x v="1"/>
    <s v="2026"/>
    <x v="1"/>
    <s v="Pune, Maharashtra"/>
  </r>
  <r>
    <n v="135"/>
    <s v="ST1049"/>
    <s v="Abhijit Dilip Thorat"/>
    <s v="AUTO ASSEMBLY TECH"/>
    <n v="9876501249"/>
    <x v="1"/>
    <d v="1899-12-30T18:44:39"/>
    <d v="1899-12-30T18:55:14"/>
    <x v="1"/>
    <s v="2026"/>
    <x v="1"/>
    <s v="Pune, Maharashtra"/>
  </r>
  <r>
    <n v="136"/>
    <s v="ST1050"/>
    <s v="Rutuja Milind Jadhav"/>
    <s v="AUTO CAD TECH"/>
    <n v="9876501250"/>
    <x v="1"/>
    <d v="1899-12-30T18:44:48"/>
    <d v="1899-12-30T18:55:26"/>
    <x v="1"/>
    <s v="2026"/>
    <x v="1"/>
    <s v="Ahilya Nagar, Maharashtra, Maharashtra"/>
  </r>
  <r>
    <n v="137"/>
    <s v="ST1051"/>
    <s v="Harshal Chandrakant Salve"/>
    <s v="AUTO CAD TECH"/>
    <n v="9876501251"/>
    <x v="1"/>
    <d v="1899-12-30T18:44:51"/>
    <d v="1899-12-30T18:55:30"/>
    <x v="1"/>
    <s v="2026"/>
    <x v="1"/>
    <s v="Chhatrapati Sambhajinagar, Maharashtra"/>
  </r>
  <r>
    <n v="138"/>
    <s v="ST1052"/>
    <s v="Sakshi Vinod Shingare"/>
    <s v="AUTO ASSEMBLY TECH"/>
    <n v="9876501252"/>
    <x v="1"/>
    <d v="1899-12-30T18:44:55"/>
    <d v="1899-12-30T18:55:34"/>
    <x v="1"/>
    <s v="2026"/>
    <x v="1"/>
    <s v="Pune, Maharashtra"/>
  </r>
  <r>
    <n v="139"/>
    <s v="ST1053"/>
    <s v="Ganesh Baban Dhumal"/>
    <s v="IOT NETWORK SPEC"/>
    <n v="9876501253"/>
    <x v="1"/>
    <d v="1899-12-30T18:45:00"/>
    <d v="1899-12-30T18:55:38"/>
    <x v="1"/>
    <s v="2026"/>
    <x v="1"/>
    <s v="Pune, Maharashtra"/>
  </r>
  <r>
    <n v="140"/>
    <s v="ST1054"/>
    <s v="Nikita Subhash Bhise"/>
    <s v="COMPLIANCE AUDIT ANALYST"/>
    <n v="9876501254"/>
    <x v="1"/>
    <d v="1899-12-30T18:45:03"/>
    <d v="1899-12-30T18:55:42"/>
    <x v="1"/>
    <s v="2026"/>
    <x v="1"/>
    <s v="Ahilya Nagar, Maharashtra, Maharashtra"/>
  </r>
  <r>
    <n v="141"/>
    <s v="ST1055"/>
    <s v="Amol Pandurang Kharat"/>
    <s v="ASSEMBLY OP (RAC)"/>
    <n v="9876501255"/>
    <x v="1"/>
    <d v="1899-12-30T18:45:07"/>
    <d v="1899-12-30T18:55:47"/>
    <x v="1"/>
    <s v="2026"/>
    <x v="1"/>
    <s v="Chhatrapati Sambhajinagar, Maharashtra"/>
  </r>
  <r>
    <n v="142"/>
    <s v="ST1056"/>
    <s v="Shraddha Sharad Gorde"/>
    <s v="COMPLIANCE AUDIT ANALYST"/>
    <n v="9876501256"/>
    <x v="1"/>
    <d v="1899-12-30T18:45:11"/>
    <d v="1899-12-30T18:55:50"/>
    <x v="1"/>
    <s v="2026"/>
    <x v="1"/>
    <s v="Pune, Maharashtra"/>
  </r>
  <r>
    <n v="143"/>
    <s v="ST1057"/>
    <s v="Pratik Shivaji Tupe"/>
    <s v="AI/ML ENGINEER"/>
    <n v="9876501257"/>
    <x v="1"/>
    <d v="1899-12-30T18:45:13"/>
    <d v="1899-12-30T18:55:55"/>
    <x v="1"/>
    <s v="2026"/>
    <x v="1"/>
    <s v="Pune, Maharashtra"/>
  </r>
  <r>
    <n v="144"/>
    <s v="ST1058"/>
    <s v="Minal Ravindra Doke"/>
    <s v="COMPLIANCE AUDIT ANALYST"/>
    <n v="9876501258"/>
    <x v="1"/>
    <d v="1899-12-30T18:45:17"/>
    <d v="1899-12-30T18:55:59"/>
    <x v="1"/>
    <s v="2026"/>
    <x v="1"/>
    <s v="Ahilya Nagar, Maharashtra, Maharashtra"/>
  </r>
  <r>
    <n v="145"/>
    <s v="ST1059"/>
    <s v="Vishal Pravin Kokate"/>
    <s v="AUTO CAD TECH"/>
    <n v="9876501259"/>
    <x v="1"/>
    <d v="1899-12-30T18:45:22"/>
    <d v="1899-12-30T18:56:03"/>
    <x v="1"/>
    <s v="2026"/>
    <x v="1"/>
    <s v="Chhatrapati Sambhajinagar, Maharashtra"/>
  </r>
  <r>
    <n v="146"/>
    <s v="ST1060"/>
    <s v="Neha Kishor Dhage"/>
    <s v="CLOUD APP DEV"/>
    <n v="9876501260"/>
    <x v="1"/>
    <d v="1899-12-30T18:45:32"/>
    <d v="1899-12-30T18:56:10"/>
    <x v="1"/>
    <s v="2026"/>
    <x v="1"/>
    <s v="Pune, Maharashtra"/>
  </r>
  <r>
    <n v="147"/>
    <s v="ST1061"/>
    <s v="Akshay Dattatraya Borude"/>
    <s v="IOT NETWORK SPEC"/>
    <n v="9876501261"/>
    <x v="1"/>
    <d v="1899-12-30T18:45:36"/>
    <d v="1899-12-30T18:56:14"/>
    <x v="1"/>
    <s v="2026"/>
    <x v="1"/>
    <s v="Pune, Maharashtra"/>
  </r>
  <r>
    <n v="148"/>
    <s v="ST1062"/>
    <s v="Priti Balasaheb Nagare"/>
    <s v="AUTO ASSEMBLY TECH"/>
    <n v="9876501262"/>
    <x v="1"/>
    <d v="1899-12-30T18:45:39"/>
    <d v="1899-12-30T18:56:18"/>
    <x v="1"/>
    <s v="2026"/>
    <x v="1"/>
    <s v="Ahilya Nagar, Maharashtra, Maharashtra"/>
  </r>
  <r>
    <n v="149"/>
    <s v="ST1063"/>
    <s v="Chetan Hanuman Gawali"/>
    <s v="ASSEMBLY OP (RAC)"/>
    <n v="9876501263"/>
    <x v="1"/>
    <d v="1899-12-30T18:45:42"/>
    <d v="1899-12-30T18:56:22"/>
    <x v="1"/>
    <s v="2026"/>
    <x v="1"/>
    <s v="Chhatrapati Sambhajinagar, Maharashtra"/>
  </r>
  <r>
    <n v="150"/>
    <s v="ST1064"/>
    <s v="Sonali Vilas Shelke"/>
    <s v="CLOUD APP DEV"/>
    <n v="9876501264"/>
    <x v="1"/>
    <d v="1899-12-30T18:45:45"/>
    <d v="1899-12-30T18:56:27"/>
    <x v="1"/>
    <s v="2026"/>
    <x v="1"/>
    <s v="Pune, Maharashtra"/>
  </r>
  <r>
    <n v="151"/>
    <s v="ST1065"/>
    <s v="Swapnil Sopan Raut"/>
    <s v="ASSEMBLY OP (RAC)"/>
    <n v="9876501265"/>
    <x v="1"/>
    <d v="1899-12-30T18:45:49"/>
    <d v="1899-12-30T18:56:31"/>
    <x v="1"/>
    <s v="2026"/>
    <x v="1"/>
    <s v="Pune, Maharashtra"/>
  </r>
  <r>
    <n v="152"/>
    <s v="ST1066"/>
    <s v="Bhagyashree Eknath Pansare"/>
    <s v="EV PRODUCT DESIGN"/>
    <n v="9876501266"/>
    <x v="1"/>
    <d v="1899-12-30T18:45:52"/>
    <d v="1899-12-30T18:56:35"/>
    <x v="1"/>
    <s v="2026"/>
    <x v="1"/>
    <s v="Ahilya Nagar, Maharashtra, Maharashtra"/>
  </r>
  <r>
    <n v="153"/>
    <s v="ST1067"/>
    <s v="Kunal Bharat Pawale"/>
    <s v="ASSEMBLY OP (RAC)"/>
    <n v="9876501267"/>
    <x v="1"/>
    <d v="1899-12-30T18:45:55"/>
    <d v="1899-12-30T18:56:38"/>
    <x v="1"/>
    <s v="2026"/>
    <x v="1"/>
    <s v="Chhatrapati Sambhajinagar, Maharashtra"/>
  </r>
  <r>
    <n v="154"/>
    <s v="ST1068"/>
    <s v="Monika Nitin Kute"/>
    <s v="CLOUD APP DEV"/>
    <n v="9876501268"/>
    <x v="1"/>
    <d v="1899-12-30T18:45:59"/>
    <d v="1899-12-30T18:56:42"/>
    <x v="1"/>
    <s v="2026"/>
    <x v="1"/>
    <s v="Pune, Maharashtra"/>
  </r>
  <r>
    <n v="155"/>
    <s v="ST1069"/>
    <s v="Yogesh Tukaram Dhavale"/>
    <s v="COMPLIANCE AUDIT ANALYST"/>
    <n v="9876501269"/>
    <x v="1"/>
    <d v="1899-12-30T18:46:02"/>
    <d v="1899-12-30T18:56:46"/>
    <x v="1"/>
    <s v="2026"/>
    <x v="1"/>
    <s v="Pune, Maharashtra"/>
  </r>
  <r>
    <n v="156"/>
    <s v="ST1070"/>
    <s v="Reshma Arun Kolhe"/>
    <s v="COMPLIANCE AUDIT ANALYST"/>
    <n v="9876501270"/>
    <x v="1"/>
    <d v="1899-12-30T18:46:06"/>
    <d v="1899-12-30T18:56:51"/>
    <x v="1"/>
    <s v="2026"/>
    <x v="1"/>
    <s v="Chhatrapati Sambhajinagar, Maharashtra"/>
  </r>
  <r>
    <n v="157"/>
    <s v="ST1071"/>
    <s v="Aditya Ashok Londhe"/>
    <s v="AUTO ASSEMBLY TECH"/>
    <n v="9876501271"/>
    <x v="1"/>
    <d v="1899-12-30T18:46:10"/>
    <d v="1899-12-30T18:56:57"/>
    <x v="1"/>
    <s v="2026"/>
    <x v="1"/>
    <s v="Chhatrapati Sambhajinagar, Maharashtra"/>
  </r>
  <r>
    <n v="158"/>
    <s v="ST1072"/>
    <s v="Ruchita Mahendra Jare"/>
    <s v="ASSEMBLY OP (RAC)"/>
    <n v="9876501272"/>
    <x v="1"/>
    <d v="1899-12-30T18:46:14"/>
    <d v="1899-12-30T18:57:00"/>
    <x v="1"/>
    <s v="2026"/>
    <x v="1"/>
    <s v="Pune, Maharashtra"/>
  </r>
  <r>
    <n v="159"/>
    <s v="ST1073"/>
    <s v="Sanket Vijay Ghule"/>
    <s v="CLOUD APP DEV"/>
    <n v="9876501273"/>
    <x v="1"/>
    <d v="1899-12-30T18:46:18"/>
    <d v="1899-12-30T18:57:04"/>
    <x v="1"/>
    <s v="2026"/>
    <x v="1"/>
    <s v="Pune, Maharashtra"/>
  </r>
  <r>
    <n v="160"/>
    <s v="ST1074"/>
    <s v="Shweta Sanjay Shelar"/>
    <s v="AI/ML ENGINEER"/>
    <n v="9876501274"/>
    <x v="1"/>
    <d v="1899-12-30T18:46:22"/>
    <d v="1899-12-30T18:57:11"/>
    <x v="1"/>
    <s v="2026"/>
    <x v="1"/>
    <s v="Ahilya Nagar, Maharashtra, Maharashtra"/>
  </r>
  <r>
    <n v="161"/>
    <s v="ST1075"/>
    <s v="Ajinkya Narayan Wankhede"/>
    <s v="ASSEMBLY OP (RAC)"/>
    <n v="9876501275"/>
    <x v="1"/>
    <d v="1899-12-30T18:46:25"/>
    <d v="1899-12-30T18:57:14"/>
    <x v="1"/>
    <s v="2026"/>
    <x v="1"/>
    <s v="Chhatrapati Sambhajinagar, Maharashtra"/>
  </r>
  <r>
    <n v="162"/>
    <s v="ST1076"/>
    <s v="Pooja Dnyaneshwar Karale"/>
    <s v="IOT NETWORK SPEC"/>
    <n v="9876501276"/>
    <x v="1"/>
    <d v="1899-12-30T18:46:28"/>
    <d v="1899-12-30T18:57:18"/>
    <x v="1"/>
    <s v="2026"/>
    <x v="1"/>
    <s v="Pune, Maharashtra"/>
  </r>
  <r>
    <n v="163"/>
    <s v="ST1077"/>
    <s v="Prathamesh Dnyaneshwar Jadhav"/>
    <s v="AI BI ANALYST"/>
    <n v="9834512701"/>
    <x v="1"/>
    <d v="1899-12-30T18:46:31"/>
    <d v="1899-12-30T18:57:21"/>
    <x v="1"/>
    <s v="2026"/>
    <x v="1"/>
    <s v="Hadapsar, Pune"/>
  </r>
  <r>
    <n v="164"/>
    <s v="ST1078"/>
    <s v="Vaishnavi Ashok Pawar"/>
    <s v="IOT DOMAIN SPEC"/>
    <n v="9834512702"/>
    <x v="1"/>
    <d v="1899-12-30T18:46:35"/>
    <d v="1899-12-30T18:57:27"/>
    <x v="1"/>
    <s v="2026"/>
    <x v="1"/>
    <s v="Wagholi, Pune"/>
  </r>
  <r>
    <n v="165"/>
    <s v="ST1079"/>
    <s v="Omkar Rajendra Kale"/>
    <s v="IOT DOMAIN SPEC"/>
    <n v="9834512703"/>
    <x v="1"/>
    <d v="1899-12-30T18:46:38"/>
    <d v="1899-12-30T18:57:31"/>
    <x v="1"/>
    <s v="2026"/>
    <x v="1"/>
    <s v="Chakan, Pune"/>
  </r>
  <r>
    <n v="166"/>
    <s v="ST1080"/>
    <s v="Snehal Sunil Ghadge"/>
    <s v="AI/ML ENGINEER"/>
    <n v="9834512704"/>
    <x v="1"/>
    <d v="1899-12-30T18:46:43"/>
    <d v="1899-12-30T18:57:36"/>
    <x v="1"/>
    <s v="2026"/>
    <x v="1"/>
    <s v="Kharadi, Pune"/>
  </r>
  <r>
    <n v="167"/>
    <s v="ST1081"/>
    <s v="Tejas Vilas Shinde"/>
    <s v="CLOUD APP DEV"/>
    <n v="9834512705"/>
    <x v="1"/>
    <d v="1899-12-30T18:46:48"/>
    <d v="1899-12-30T18:57:41"/>
    <x v="1"/>
    <s v="2026"/>
    <x v="1"/>
    <s v="Hinjawadi, Pune"/>
  </r>
  <r>
    <n v="168"/>
    <s v="ST1082"/>
    <s v="Aditi Prakash More"/>
    <s v="ASSEMBLY OP (RAC)"/>
    <n v="9834512706"/>
    <x v="1"/>
    <d v="1899-12-30T18:46:51"/>
    <d v="1899-12-30T18:57:47"/>
    <x v="1"/>
    <s v="2026"/>
    <x v="1"/>
    <s v="Baner, Pune"/>
  </r>
  <r>
    <n v="169"/>
    <s v="ST1083"/>
    <s v="Sanket Dattatraya Chavan"/>
    <s v="AUTO CAD TECH"/>
    <n v="9834512707"/>
    <x v="1"/>
    <d v="1899-12-30T18:46:55"/>
    <d v="1899-12-30T18:57:51"/>
    <x v="1"/>
    <s v="2026"/>
    <x v="1"/>
    <s v="Wakad, Pune"/>
  </r>
  <r>
    <n v="170"/>
    <s v="ST1084"/>
    <s v="Rutuja Mahendra Gaikwad"/>
    <s v="AUTO CAD TECH"/>
    <n v="9834512708"/>
    <x v="1"/>
    <d v="1899-12-30T18:46:59"/>
    <d v="1899-12-30T18:57:54"/>
    <x v="1"/>
    <s v="2026"/>
    <x v="1"/>
    <s v="Pimpri, Pune"/>
  </r>
  <r>
    <n v="171"/>
    <s v="ST1085"/>
    <s v="Akshay Ravindra Bhosale"/>
    <s v="IOT NETWORK SPEC"/>
    <n v="9834512709"/>
    <x v="1"/>
    <d v="1899-12-30T18:47:02"/>
    <d v="1899-12-30T18:57:57"/>
    <x v="1"/>
    <s v="2026"/>
    <x v="1"/>
    <s v="Chinchwad, Pune"/>
  </r>
  <r>
    <n v="172"/>
    <s v="ST1086"/>
    <s v="Komal Sanjay Kharat"/>
    <s v="IOT DOMAIN SPEC"/>
    <n v="9834512710"/>
    <x v="1"/>
    <d v="1899-12-30T18:47:05"/>
    <d v="1899-12-30T18:58:00"/>
    <x v="1"/>
    <s v="2026"/>
    <x v="1"/>
    <s v="Talegaon, Pune"/>
  </r>
  <r>
    <n v="173"/>
    <s v="ST1087"/>
    <s v="Rohit Shrikant Wagh"/>
    <s v="AUTO CAD TECH"/>
    <n v="9834512711"/>
    <x v="1"/>
    <d v="1899-12-30T18:47:08"/>
    <d v="1899-12-30T18:58:03"/>
    <x v="1"/>
    <s v="2026"/>
    <x v="1"/>
    <s v="Moshi, Pune"/>
  </r>
  <r>
    <n v="174"/>
    <s v="ST1088"/>
    <s v="Pooja Vijay Dhumal"/>
    <s v="AUTO ASSEMBLY TECH"/>
    <n v="9834512712"/>
    <x v="1"/>
    <d v="1899-12-30T18:47:12"/>
    <d v="1899-12-30T18:58:06"/>
    <x v="1"/>
    <s v="2026"/>
    <x v="1"/>
    <s v="Bhosari, Pune"/>
  </r>
  <r>
    <n v="175"/>
    <s v="ST1089"/>
    <s v="Nikhil Ashok Thorat"/>
    <s v="EV PRODUCT DESIGN"/>
    <n v="9834512713"/>
    <x v="1"/>
    <d v="1899-12-30T18:47:16"/>
    <d v="1899-12-30T18:58:10"/>
    <x v="1"/>
    <s v="2026"/>
    <x v="1"/>
    <s v="Alandi, Pune"/>
  </r>
  <r>
    <n v="176"/>
    <s v="ST1090"/>
    <s v="Mansi Santosh Gawali"/>
    <s v="ASSEMBLY OP (RAC)"/>
    <n v="9834512714"/>
    <x v="1"/>
    <d v="1899-12-30T18:47:19"/>
    <d v="1899-12-30T18:58:15"/>
    <x v="1"/>
    <s v="2026"/>
    <x v="1"/>
    <s v="Lohegaon, Pune"/>
  </r>
  <r>
    <n v="177"/>
    <s v="ST1091"/>
    <s v="Aditya Chandrakant Salunkhe"/>
    <s v="CLOUD APP DEV"/>
    <n v="9834512715"/>
    <x v="1"/>
    <d v="1899-12-30T18:47:23"/>
    <d v="1899-12-30T18:58:20"/>
    <x v="1"/>
    <s v="2026"/>
    <x v="1"/>
    <s v="Dhanori, Pune"/>
  </r>
  <r>
    <n v="178"/>
    <s v="ST1092"/>
    <s v="Sakshi Ganesh Jare"/>
    <s v="CLOUD APP DEV"/>
    <n v="9834512716"/>
    <x v="1"/>
    <d v="1899-12-30T18:47:27"/>
    <d v="1899-12-30T18:58:23"/>
    <x v="1"/>
    <s v="2026"/>
    <x v="1"/>
    <s v="Kondhwa, Pune"/>
  </r>
  <r>
    <n v="179"/>
    <s v="ST1093"/>
    <s v="Harshal Pandurang Tupe"/>
    <s v="COMPLIANCE AUDIT ANALYST"/>
    <n v="9834512717"/>
    <x v="1"/>
    <d v="1899-12-30T18:47:30"/>
    <d v="1899-12-30T18:58:26"/>
    <x v="1"/>
    <s v="2026"/>
    <x v="1"/>
    <s v="Katraj, Pune"/>
  </r>
  <r>
    <n v="180"/>
    <s v="ST1094"/>
    <s v="Nikita Suresh Shelke"/>
    <s v="IOT NETWORK SPEC"/>
    <n v="9834512718"/>
    <x v="1"/>
    <d v="1899-12-30T18:47:33"/>
    <d v="1899-12-30T18:58:30"/>
    <x v="1"/>
    <s v="2026"/>
    <x v="1"/>
    <s v="Shivajinagar, Pune"/>
  </r>
  <r>
    <n v="181"/>
    <s v="ST1095"/>
    <s v="Yogesh Pravin Dhage"/>
    <s v="AI/ML ENGINEER"/>
    <n v="9834512719"/>
    <x v="1"/>
    <d v="1899-12-30T18:47:36"/>
    <d v="1899-12-30T18:58:33"/>
    <x v="1"/>
    <s v="2026"/>
    <x v="1"/>
    <s v="Bavdhan, Pune"/>
  </r>
  <r>
    <n v="182"/>
    <s v="ST1096"/>
    <s v="Reshma Balasaheb Kute"/>
    <s v="AI/ML ENGINEER"/>
    <n v="9834512720"/>
    <x v="1"/>
    <d v="1899-12-30T18:47:38"/>
    <d v="1899-12-30T18:58:36"/>
    <x v="1"/>
    <s v="2026"/>
    <x v="1"/>
    <s v="Nigdi, Pune"/>
  </r>
  <r>
    <n v="183"/>
    <s v="ST1097"/>
    <s v="Shubham Bharat Kokate"/>
    <s v="AI BI ANALYST"/>
    <n v="9834512721"/>
    <x v="1"/>
    <d v="1899-12-30T18:47:41"/>
    <d v="1899-12-30T18:58:40"/>
    <x v="1"/>
    <s v="2026"/>
    <x v="1"/>
    <s v="Ravet, Pune"/>
  </r>
  <r>
    <n v="184"/>
    <s v="ST1098"/>
    <s v="Sonali Arun Borude"/>
    <s v="AI BI ANALYST"/>
    <n v="9834512722"/>
    <x v="1"/>
    <d v="1899-12-30T18:47:45"/>
    <d v="1899-12-30T18:58:44"/>
    <x v="1"/>
    <s v="2026"/>
    <x v="1"/>
    <s v="Dhayari, Pune"/>
  </r>
  <r>
    <n v="185"/>
    <s v="ST1099"/>
    <s v="Chetan Kishor Ghule"/>
    <s v="AI/ML ENGINEER"/>
    <n v="9834512723"/>
    <x v="1"/>
    <d v="1899-12-30T18:47:50"/>
    <d v="1899-12-30T18:58:47"/>
    <x v="1"/>
    <s v="2026"/>
    <x v="1"/>
    <s v="Narhe, Pune"/>
  </r>
  <r>
    <n v="186"/>
    <s v="ST1100"/>
    <s v="Monika Nitin Karale"/>
    <s v="IOT DOMAIN SPEC"/>
    <n v="9834512724"/>
    <x v="1"/>
    <d v="1899-12-30T18:47:57"/>
    <d v="1899-12-30T18:58:57"/>
    <x v="1"/>
    <s v="2026"/>
    <x v="1"/>
    <s v="Fursungi, Pune"/>
  </r>
  <r>
    <n v="187"/>
    <s v="ST1101"/>
    <s v="Ganesh Eknath Pawale"/>
    <s v="IOT DOMAIN SPEC"/>
    <n v="9834512725"/>
    <x v="1"/>
    <d v="1899-12-30T18:48:00"/>
    <d v="1899-12-30T18:59:01"/>
    <x v="1"/>
    <s v="2026"/>
    <x v="1"/>
    <s v="Mundhwa, Pune"/>
  </r>
  <r>
    <n v="188"/>
    <s v="ST1102"/>
    <s v="Shraddha Tukaram Kolhe"/>
    <s v="IOT NETWORK SPEC"/>
    <n v="9834512726"/>
    <x v="1"/>
    <d v="1899-12-30T18:48:03"/>
    <d v="1899-12-30T18:59:04"/>
    <x v="1"/>
    <s v="2026"/>
    <x v="1"/>
    <s v="Ahilya Nagar, Maharashtra"/>
  </r>
  <r>
    <n v="189"/>
    <s v="ST1103"/>
    <s v="Vishal Sharad Nagare"/>
    <s v="COMPLIANCE AUDIT ANALYST"/>
    <n v="9834512727"/>
    <x v="1"/>
    <d v="1899-12-30T18:48:07"/>
    <d v="1899-12-30T18:59:07"/>
    <x v="1"/>
    <s v="2026"/>
    <x v="1"/>
    <s v="Shrirampur"/>
  </r>
  <r>
    <n v="190"/>
    <s v="ST1104"/>
    <s v="Prajakta Baban Doke"/>
    <s v="COMPLIANCE AUDIT ANALYST"/>
    <n v="9834512728"/>
    <x v="1"/>
    <d v="1899-12-30T18:48:10"/>
    <d v="1899-12-30T18:59:13"/>
    <x v="1"/>
    <s v="2026"/>
    <x v="1"/>
    <s v="Sangamner"/>
  </r>
  <r>
    <n v="191"/>
    <s v="ST1105"/>
    <s v="Amol Shivaji Dhavale"/>
    <s v="CLOUD APP DEV"/>
    <n v="9834512729"/>
    <x v="1"/>
    <d v="1899-12-30T18:48:14"/>
    <d v="1899-12-30T18:59:21"/>
    <x v="1"/>
    <s v="2026"/>
    <x v="1"/>
    <s v="Rahata"/>
  </r>
  <r>
    <n v="192"/>
    <s v="ST1106"/>
    <s v="Sanika Haribhau Khedkar"/>
    <s v="CLOUD APP DEV"/>
    <n v="9834512730"/>
    <x v="1"/>
    <d v="1899-12-30T18:48:17"/>
    <d v="1899-12-30T18:59:25"/>
    <x v="1"/>
    <s v="2026"/>
    <x v="1"/>
    <s v="Rahuri"/>
  </r>
  <r>
    <n v="193"/>
    <s v="ST1107"/>
    <s v="Devendra Ramesh Pansare"/>
    <s v="ASSEMBLY OP (RAC)"/>
    <n v="9834512731"/>
    <x v="1"/>
    <d v="1899-12-30T18:48:20"/>
    <d v="1899-12-30T18:59:30"/>
    <x v="1"/>
    <s v="2026"/>
    <x v="1"/>
    <s v="Pathardi"/>
  </r>
  <r>
    <n v="194"/>
    <s v="ST1108"/>
    <s v="Bhagyashree Vinod Bhise"/>
    <s v="EV PRODUCT DESIGN"/>
    <n v="9834512732"/>
    <x v="1"/>
    <d v="1899-12-30T18:48:23"/>
    <d v="1899-12-30T18:59:34"/>
    <x v="1"/>
    <s v="2026"/>
    <x v="1"/>
    <s v="Nevasa"/>
  </r>
  <r>
    <n v="195"/>
    <s v="ST1109"/>
    <s v="Tushar Milind Londhe"/>
    <s v="AUTO ASSEMBLY TECH"/>
    <n v="9834512733"/>
    <x v="1"/>
    <d v="1899-12-30T18:48:26"/>
    <d v="1899-12-30T18:59:37"/>
    <x v="1"/>
    <s v="2026"/>
    <x v="1"/>
    <s v="Shevgaon"/>
  </r>
  <r>
    <n v="196"/>
    <s v="ST1110"/>
    <s v="Neha Shashikant Gorde"/>
    <s v="AUTO CAD TECH"/>
    <n v="9834512734"/>
    <x v="1"/>
    <d v="1899-12-30T18:48:31"/>
    <d v="1899-12-30T18:59:46"/>
    <x v="1"/>
    <s v="2026"/>
    <x v="1"/>
    <s v="Jamkhed"/>
  </r>
  <r>
    <n v="197"/>
    <s v="ST1111"/>
    <s v="Kunal Dnyaneshwar Raut"/>
    <s v="EV PRODUCT DESIGN"/>
    <n v="9834512735"/>
    <x v="1"/>
    <d v="1899-12-30T18:48:35"/>
    <d v="1899-12-30T18:59:50"/>
    <x v="1"/>
    <s v="2026"/>
    <x v="1"/>
    <s v="Karjat, Ahilya Nagar, Maharashtra"/>
  </r>
  <r>
    <n v="198"/>
    <s v="ST1021"/>
    <s v="Yash Ganesh Patil"/>
    <s v="CLOUD APP DEV"/>
    <n v="9876501221"/>
    <x v="1"/>
    <d v="1899-12-30T18:50:59"/>
    <d v="1899-12-30T18:51:02"/>
    <x v="1"/>
    <s v="2026"/>
    <x v="1"/>
    <s v="Pune, Maharashtra"/>
  </r>
  <r>
    <n v="199"/>
    <s v="ST1022"/>
    <s v="Meera Krishnan Iyer"/>
    <s v="CLOUD APP DEV"/>
    <n v="9876501222"/>
    <x v="1"/>
    <d v="1899-12-30T18:51:13"/>
    <d v="1899-12-30T18:51:16"/>
    <x v="1"/>
    <s v="2026"/>
    <x v="1"/>
    <s v="Navi Mumbai, Maharashtra"/>
  </r>
  <r>
    <n v="200"/>
    <s v="ST1040"/>
    <s v="Snehal Vijay More"/>
    <s v="AUTO CAD TECH"/>
    <n v="9876501240"/>
    <x v="1"/>
    <d v="1899-12-30T18:53:55"/>
    <d v="1899-12-30T18:53:58"/>
    <x v="1"/>
    <s v="2026"/>
    <x v="1"/>
    <s v="Pune, Maharashtra"/>
  </r>
  <r>
    <n v="201"/>
    <s v="ST1001"/>
    <s v="Aarav Rajesh Sharma"/>
    <s v="AI/ML ENGINEER"/>
    <n v="9876501201"/>
    <x v="2"/>
    <d v="1899-12-30T17:20:27"/>
    <d v="1899-12-30T17:26:14"/>
    <x v="1"/>
    <s v="2026"/>
    <x v="2"/>
    <s v="Pune, Maharashtra"/>
  </r>
  <r>
    <n v="202"/>
    <s v="ST1002"/>
    <s v="Ananya Sunil Patil"/>
    <s v="AI BI ANALYST"/>
    <n v="9876501202"/>
    <x v="2"/>
    <d v="1899-12-30T17:20:32"/>
    <d v="1899-12-30T17:26:22"/>
    <x v="1"/>
    <s v="2026"/>
    <x v="2"/>
    <s v="Nashik, Maharashtra"/>
  </r>
  <r>
    <n v="203"/>
    <s v="ST1003"/>
    <s v="Vivaan Sanjay Gupta"/>
    <s v="CLOUD APP DEV"/>
    <n v="9876501203"/>
    <x v="2"/>
    <d v="1899-12-30T17:20:35"/>
    <d v="1899-12-30T17:26:26"/>
    <x v="1"/>
    <s v="2026"/>
    <x v="2"/>
    <s v="Nagpur, Maharashtra"/>
  </r>
  <r>
    <n v="204"/>
    <s v="ST1004"/>
    <s v="Diya Mahesh Joshi"/>
    <s v="AI BI ANALYST"/>
    <n v="9876501204"/>
    <x v="2"/>
    <d v="1899-12-30T17:20:39"/>
    <d v="1899-12-30T17:26:30"/>
    <x v="1"/>
    <s v="2026"/>
    <x v="2"/>
    <s v="Mumbai, Maharashtra"/>
  </r>
  <r>
    <n v="205"/>
    <s v="ST1005"/>
    <s v="Aditya Prakash Kulkarni"/>
    <s v="AI BI ANALYST"/>
    <n v="9876501205"/>
    <x v="2"/>
    <d v="1899-12-30T17:20:42"/>
    <d v="1899-12-30T17:26:34"/>
    <x v="1"/>
    <s v="2026"/>
    <x v="2"/>
    <s v="Chhatrapati Sambhajinagar, Maharashtra"/>
  </r>
  <r>
    <n v="206"/>
    <s v="ST1006"/>
    <s v="Isha Vijay Deshmukh"/>
    <s v="CLOUD APP DEV"/>
    <n v="9876501206"/>
    <x v="2"/>
    <d v="1899-12-30T17:20:46"/>
    <d v="1899-12-30T17:26:37"/>
    <x v="1"/>
    <s v="2026"/>
    <x v="2"/>
    <s v="Jalna, Maharashtra"/>
  </r>
  <r>
    <n v="207"/>
    <s v="ST1007"/>
    <s v="Arjun Rakesh Mehta"/>
    <s v="CLOUD APP DEV"/>
    <n v="9876501207"/>
    <x v="2"/>
    <d v="1899-12-30T17:20:49"/>
    <d v="1899-12-30T17:26:42"/>
    <x v="1"/>
    <s v="2026"/>
    <x v="2"/>
    <s v="Pune, Maharashtra"/>
  </r>
  <r>
    <n v="208"/>
    <s v="ST1008"/>
    <s v="Kavya Manoj Singh"/>
    <s v="AI BI ANALYST"/>
    <n v="9876501208"/>
    <x v="2"/>
    <d v="1899-12-30T17:20:52"/>
    <d v="1899-12-30T17:26:46"/>
    <x v="1"/>
    <s v="2026"/>
    <x v="2"/>
    <s v="Kolhapur, Maharashtra"/>
  </r>
  <r>
    <n v="209"/>
    <s v="ST1009"/>
    <s v="Rohan Suresh Nair"/>
    <s v="AI/ML ENGINEER"/>
    <n v="9876501209"/>
    <x v="2"/>
    <d v="1899-12-30T17:20:55"/>
    <d v="1899-12-30T17:26:50"/>
    <x v="1"/>
    <s v="2026"/>
    <x v="2"/>
    <s v="Solapur, Maharashtra"/>
  </r>
  <r>
    <n v="210"/>
    <s v="ST1010"/>
    <s v="Sneha Dinesh Verma"/>
    <s v="AI/ML ENGINEER"/>
    <n v="9876501210"/>
    <x v="2"/>
    <d v="1899-12-30T17:21:00"/>
    <d v="1899-12-30T17:26:55"/>
    <x v="1"/>
    <s v="2026"/>
    <x v="2"/>
    <s v="Satara, Maharashtra"/>
  </r>
  <r>
    <n v="211"/>
    <s v="ST1011"/>
    <s v="Karan Ashok Chavan"/>
    <s v="AI BI ANALYST"/>
    <n v="9876501211"/>
    <x v="2"/>
    <d v="1899-12-30T17:21:03"/>
    <d v="1899-12-30T17:27:00"/>
    <x v="1"/>
    <s v="2026"/>
    <x v="2"/>
    <s v="Sangli, Maharashtra"/>
  </r>
  <r>
    <n v="212"/>
    <s v="ST1012"/>
    <s v="Priya Ramesh Yadav"/>
    <s v="AI BI ANALYST"/>
    <n v="9876501212"/>
    <x v="2"/>
    <d v="1899-12-30T17:21:06"/>
    <d v="1899-12-30T17:27:05"/>
    <x v="1"/>
    <s v="2026"/>
    <x v="2"/>
    <s v="Ahilya Nagar, Maharashtra"/>
  </r>
  <r>
    <n v="213"/>
    <s v="ST1013"/>
    <s v="Rahul Dilip More"/>
    <s v="AI BI ANALYST"/>
    <n v="9876501213"/>
    <x v="2"/>
    <d v="1899-12-30T17:21:09"/>
    <d v="1899-12-30T17:27:08"/>
    <x v="1"/>
    <s v="2026"/>
    <x v="2"/>
    <s v="Beed, Maharashtra"/>
  </r>
  <r>
    <n v="214"/>
    <s v="ST1014"/>
    <s v="Neha Anil Mishra"/>
    <s v="CLOUD APP DEV"/>
    <n v="9876501214"/>
    <x v="2"/>
    <d v="1899-12-30T17:21:12"/>
    <d v="1899-12-30T17:27:12"/>
    <x v="1"/>
    <s v="2026"/>
    <x v="2"/>
    <s v="Latur, Maharashtra"/>
  </r>
  <r>
    <n v="215"/>
    <s v="ST1015"/>
    <s v="Siddharth Mukesh Jain"/>
    <s v="CLOUD APP DEV"/>
    <n v="9876501215"/>
    <x v="2"/>
    <d v="1899-12-30T17:21:14"/>
    <d v="1899-12-30T17:27:15"/>
    <x v="1"/>
    <s v="2026"/>
    <x v="2"/>
    <s v="Akola, Maharashtra"/>
  </r>
  <r>
    <n v="216"/>
    <s v="ST1016"/>
    <s v="Pooja Shrikant Pawar"/>
    <s v="AI/ML ENGINEER"/>
    <n v="9876501216"/>
    <x v="2"/>
    <d v="1899-12-30T17:21:17"/>
    <d v="1899-12-30T17:27:19"/>
    <x v="1"/>
    <s v="2026"/>
    <x v="2"/>
    <s v="Dharashiv, Maharashtra"/>
  </r>
  <r>
    <n v="217"/>
    <s v="ST1017"/>
    <s v="Akash Chandrakant Shinde"/>
    <s v="CLOUD APP DEV"/>
    <n v="9876501217"/>
    <x v="2"/>
    <d v="1899-12-30T17:21:20"/>
    <d v="1899-12-30T17:27:22"/>
    <x v="1"/>
    <s v="2026"/>
    <x v="2"/>
    <s v="Pune, Maharashtra"/>
  </r>
  <r>
    <n v="218"/>
    <s v="ST1018"/>
    <s v="Riya Amit Kapoor"/>
    <s v="AI/ML ENGINEER"/>
    <n v="9876501218"/>
    <x v="2"/>
    <d v="1899-12-30T17:21:23"/>
    <d v="1899-12-30T17:27:26"/>
    <x v="1"/>
    <s v="2026"/>
    <x v="2"/>
    <s v="Thane, Maharashtra"/>
  </r>
  <r>
    <n v="219"/>
    <s v="ST1019"/>
    <s v="Nikhil Vinod Bhosale"/>
    <s v="CLOUD APP DEV"/>
    <n v="9876501219"/>
    <x v="2"/>
    <d v="1899-12-30T17:21:26"/>
    <d v="1899-12-30T17:27:30"/>
    <x v="1"/>
    <s v="2026"/>
    <x v="2"/>
    <s v="Jalgaon, Maharashtra"/>
  </r>
  <r>
    <n v="220"/>
    <s v="ST1020"/>
    <s v="Aditi Milind Kulkarni"/>
    <s v="AI BI ANALYST"/>
    <n v="9876501220"/>
    <x v="2"/>
    <d v="1899-12-30T17:21:29"/>
    <d v="1899-12-30T17:27:35"/>
    <x v="1"/>
    <s v="2026"/>
    <x v="2"/>
    <s v="Amravati, Maharashtra"/>
  </r>
  <r>
    <n v="221"/>
    <s v="ST1021"/>
    <s v="Yash Ganesh Patil"/>
    <s v="CLOUD APP DEV"/>
    <n v="9876501221"/>
    <x v="2"/>
    <d v="1899-12-30T17:21:32"/>
    <d v="1899-12-30T17:27:39"/>
    <x v="1"/>
    <s v="2026"/>
    <x v="2"/>
    <s v="Pune, Maharashtra"/>
  </r>
  <r>
    <n v="222"/>
    <s v="ST1022"/>
    <s v="Meera Krishnan Iyer"/>
    <s v="CLOUD APP DEV"/>
    <n v="9876501222"/>
    <x v="2"/>
    <d v="1899-12-30T17:21:36"/>
    <d v="1899-12-30T17:27:54"/>
    <x v="1"/>
    <s v="2026"/>
    <x v="2"/>
    <s v="Navi Mumbai, Maharashtra"/>
  </r>
  <r>
    <n v="223"/>
    <s v="ST1023"/>
    <s v="Omkar Shashikant Jadhav"/>
    <s v="AI BI ANALYST"/>
    <n v="9876501223"/>
    <x v="2"/>
    <d v="1899-12-30T17:21:40"/>
    <d v="1899-12-30T17:27:58"/>
    <x v="1"/>
    <s v="2026"/>
    <x v="2"/>
    <s v="Parbhani, Maharashtra"/>
  </r>
  <r>
    <n v="224"/>
    <s v="ST1024"/>
    <s v="Shruti Ravindra Naik"/>
    <s v="AI/ML ENGINEER"/>
    <n v="9876501224"/>
    <x v="2"/>
    <d v="1899-12-30T17:21:45"/>
    <d v="1899-12-30T17:28:02"/>
    <x v="1"/>
    <s v="2026"/>
    <x v="2"/>
    <s v="Nanded, Maharashtra"/>
  </r>
  <r>
    <n v="225"/>
    <s v="ST1025"/>
    <s v="Harsh Deepak Agrawal"/>
    <s v="AI/ML ENGINEER"/>
    <n v="9876501225"/>
    <x v="2"/>
    <d v="1899-12-30T17:21:47"/>
    <d v="1899-12-30T17:28:14"/>
    <x v="1"/>
    <s v="2026"/>
    <x v="2"/>
    <s v="Wardha, Maharashtra"/>
  </r>
  <r>
    <n v="226"/>
    <s v="ST1026"/>
    <s v="Sanika Uday Gokhale"/>
    <s v="CLOUD APP DEV"/>
    <n v="9876501226"/>
    <x v="2"/>
    <d v="1899-12-30T17:21:50"/>
    <d v="1899-12-30T17:28:29"/>
    <x v="1"/>
    <s v="2026"/>
    <x v="2"/>
    <s v="Chandrapur, Maharashtra"/>
  </r>
  <r>
    <n v="227"/>
    <s v="ST1027"/>
    <s v="Atharva Baban Salunkhe"/>
    <s v="AUTO CAD TECH"/>
    <n v="9876501227"/>
    <x v="2"/>
    <d v="1899-12-30T17:21:54"/>
    <d v="1899-12-30T17:28:38"/>
    <x v="1"/>
    <s v="2026"/>
    <x v="2"/>
    <s v="Ratnagiri, Maharashtra"/>
  </r>
  <r>
    <n v="228"/>
    <s v="ST1028"/>
    <s v="Tanvi Pravin Bendre"/>
    <s v="ASSEMBLY OP (RAC)"/>
    <n v="9876501228"/>
    <x v="2"/>
    <d v="1899-12-30T17:21:57"/>
    <d v="1899-12-30T17:28:42"/>
    <x v="1"/>
    <s v="2026"/>
    <x v="2"/>
    <s v="Sindhudurg, Maharashtra"/>
  </r>
  <r>
    <n v="229"/>
    <s v="ST1029"/>
    <s v="Devendra Haribhau Kale"/>
    <s v="CLOUD APP DEV"/>
    <n v="9876501229"/>
    <x v="2"/>
    <d v="1899-12-30T17:22:00"/>
    <d v="1899-12-30T17:28:45"/>
    <x v="1"/>
    <s v="2026"/>
    <x v="2"/>
    <s v="Hingoli, Maharashtra"/>
  </r>
  <r>
    <n v="230"/>
    <s v="ST1030"/>
    <s v="Sakshi Narendra Thakur"/>
    <s v="CLOUD APP DEV"/>
    <n v="9876501230"/>
    <x v="2"/>
    <d v="1899-12-30T17:22:03"/>
    <d v="1899-12-30T17:28:49"/>
    <x v="1"/>
    <s v="2026"/>
    <x v="2"/>
    <s v="Washim, Maharashtra"/>
  </r>
  <r>
    <n v="231"/>
    <s v="ST1031"/>
    <s v="Pranav Santosh Raut"/>
    <s v="COMPLIANCE AUDIT ANALYST"/>
    <n v="9876501231"/>
    <x v="2"/>
    <d v="1899-12-30T17:22:06"/>
    <d v="1899-12-30T17:28:53"/>
    <x v="1"/>
    <s v="2026"/>
    <x v="2"/>
    <s v="Buldhana, Maharashtra"/>
  </r>
  <r>
    <n v="232"/>
    <s v="ST1032"/>
    <s v="Mansi Rajendra Choudhary"/>
    <s v="IOT NETWORK SPEC"/>
    <n v="9876501232"/>
    <x v="2"/>
    <d v="1899-12-30T17:22:10"/>
    <d v="1899-12-30T17:28:57"/>
    <x v="1"/>
    <s v="2026"/>
    <x v="2"/>
    <s v="Yavatmal, Maharashtra "/>
  </r>
  <r>
    <n v="233"/>
    <s v="ST1033"/>
    <s v="Tushar Subhash Khedekar"/>
    <s v="AI/ML ENGINEER"/>
    <n v="9876501233"/>
    <x v="2"/>
    <d v="1899-12-30T17:22:13"/>
    <d v="1899-12-30T17:29:02"/>
    <x v="1"/>
    <s v="2026"/>
    <x v="2"/>
    <s v="Gondia, Maharashtra"/>
  </r>
  <r>
    <n v="234"/>
    <s v="ST1034"/>
    <s v="Nandini Srinivas Rao"/>
    <s v="EV PRODUCT DESIGN"/>
    <n v="9876501234"/>
    <x v="2"/>
    <d v="1899-12-30T17:22:16"/>
    <d v="1899-12-30T17:29:06"/>
    <x v="1"/>
    <s v="2026"/>
    <x v="2"/>
    <s v="Gadchiroli, Maharashtra"/>
  </r>
  <r>
    <n v="235"/>
    <s v="ST1035"/>
    <s v="Abhishek Omprakash Tiwari"/>
    <s v="AUTO CAD TECH"/>
    <n v="9876501235"/>
    <x v="2"/>
    <d v="1899-12-30T17:22:19"/>
    <m/>
    <x v="1"/>
    <s v="2026"/>
    <x v="2"/>
    <s v="Dhule, Maharashtra"/>
  </r>
  <r>
    <n v="236"/>
    <s v="ST1036"/>
    <s v="Muskan Imran Sheikh"/>
    <s v="IOT NETWORK SPEC"/>
    <n v="9876501236"/>
    <x v="2"/>
    <d v="1899-12-30T17:22:22"/>
    <m/>
    <x v="1"/>
    <s v="2026"/>
    <x v="2"/>
    <s v="Pune, Maharashtra"/>
  </r>
  <r>
    <n v="237"/>
    <s v="ST1037"/>
    <s v="Rohit Sunil Jagtap"/>
    <s v="EV PRODUCT DESIGN"/>
    <n v="9876501237"/>
    <x v="2"/>
    <d v="1899-12-30T17:22:25"/>
    <m/>
    <x v="1"/>
    <s v="2026"/>
    <x v="2"/>
    <s v="Pune, Maharashtra"/>
  </r>
  <r>
    <n v="238"/>
    <s v="ST1038"/>
    <s v="Vaishnavi Prakash Pawar"/>
    <s v="ASSEMBLY OP (RAC)"/>
    <n v="9876501238"/>
    <x v="2"/>
    <d v="1899-12-30T17:22:28"/>
    <m/>
    <x v="1"/>
    <s v="2026"/>
    <x v="2"/>
    <s v="Ahilya Nagar, Maharashtra, Maharashtra"/>
  </r>
  <r>
    <n v="239"/>
    <s v="ST1039"/>
    <s v="Saurabh Mahadev Shinde"/>
    <s v="CLOUD APP DEV"/>
    <n v="9876501239"/>
    <x v="2"/>
    <d v="1899-12-30T17:22:32"/>
    <m/>
    <x v="1"/>
    <s v="2026"/>
    <x v="2"/>
    <s v="Chhatrapati Sambhajinagar, Maharashtra"/>
  </r>
  <r>
    <n v="240"/>
    <s v="ST1040"/>
    <s v="Snehal Vijay More"/>
    <s v="AUTO CAD TECH"/>
    <n v="9876501240"/>
    <x v="2"/>
    <d v="1899-12-30T17:22:35"/>
    <m/>
    <x v="1"/>
    <s v="2026"/>
    <x v="2"/>
    <s v="Pune, Maharashtra"/>
  </r>
  <r>
    <n v="241"/>
    <s v="ST1041"/>
    <s v="Omkar Dnyaneshwar Bhosale"/>
    <s v="EV PRODUCT DESIGN"/>
    <n v="9876501241"/>
    <x v="2"/>
    <d v="1899-12-30T17:22:39"/>
    <m/>
    <x v="1"/>
    <s v="2026"/>
    <x v="2"/>
    <s v="Pune, Maharashtra"/>
  </r>
  <r>
    <n v="242"/>
    <s v="ST1042"/>
    <s v="Pooja Ashok Kale"/>
    <s v="ASSEMBLY OP (RAC)"/>
    <n v="9876501242"/>
    <x v="2"/>
    <d v="1899-12-30T17:22:42"/>
    <m/>
    <x v="1"/>
    <s v="2026"/>
    <x v="2"/>
    <s v="Ahilya Nagar, Maharashtra, Maharashtra"/>
  </r>
  <r>
    <n v="243"/>
    <s v="ST1043"/>
    <s v="Tejas Shrikant Patil"/>
    <s v="IOT DOMAIN SPEC"/>
    <n v="9876501243"/>
    <x v="2"/>
    <d v="1899-12-30T17:22:47"/>
    <m/>
    <x v="1"/>
    <s v="2026"/>
    <x v="2"/>
    <s v="Chhatrapati Sambhajinagar, Maharashtra"/>
  </r>
  <r>
    <n v="244"/>
    <s v="ST1044"/>
    <s v="Aishwarya Ramesh Chavan"/>
    <s v="IOT NETWORK SPEC"/>
    <n v="9876501244"/>
    <x v="2"/>
    <d v="1899-12-30T17:22:49"/>
    <m/>
    <x v="1"/>
    <s v="2026"/>
    <x v="2"/>
    <s v="Pune, Maharashtra"/>
  </r>
  <r>
    <n v="245"/>
    <s v="ST1045"/>
    <s v="Nilesh Anil Ghadge"/>
    <s v="ASSEMBLY OP (RAC)"/>
    <n v="9876501245"/>
    <x v="2"/>
    <d v="1899-12-30T17:22:54"/>
    <m/>
    <x v="1"/>
    <s v="2026"/>
    <x v="2"/>
    <s v="Pune, Maharashtra"/>
  </r>
  <r>
    <n v="246"/>
    <s v="ST1046"/>
    <s v="Prajakta Santosh Kadam"/>
    <s v="CLOUD APP DEV"/>
    <n v="9876501246"/>
    <x v="2"/>
    <d v="1899-12-30T17:22:57"/>
    <m/>
    <x v="1"/>
    <s v="2026"/>
    <x v="2"/>
    <s v="Ahilya Nagar, Maharashtra, Maharashtra"/>
  </r>
  <r>
    <n v="247"/>
    <s v="ST1047"/>
    <s v="Shubham Rajendra Gaikwad"/>
    <s v="IOT NETWORK SPEC"/>
    <n v="9876501247"/>
    <x v="2"/>
    <d v="1899-12-30T17:23:00"/>
    <m/>
    <x v="1"/>
    <s v="2026"/>
    <x v="2"/>
    <s v="Chhatrapati Sambhajinagar, Maharashtra"/>
  </r>
  <r>
    <n v="248"/>
    <s v="ST1048"/>
    <s v="Komal Suresh Wagh"/>
    <s v="ASSEMBLY OP (RAC)"/>
    <n v="9876501248"/>
    <x v="2"/>
    <d v="1899-12-30T17:23:04"/>
    <m/>
    <x v="1"/>
    <s v="2026"/>
    <x v="2"/>
    <s v="Pune, Maharashtra"/>
  </r>
  <r>
    <n v="249"/>
    <s v="ST1049"/>
    <s v="Abhijit Dilip Thorat"/>
    <s v="AUTO ASSEMBLY TECH"/>
    <n v="9876501249"/>
    <x v="2"/>
    <d v="1899-12-30T17:23:06"/>
    <m/>
    <x v="1"/>
    <s v="2026"/>
    <x v="2"/>
    <s v="Pune, Maharashtra"/>
  </r>
  <r>
    <n v="250"/>
    <s v="ST1050"/>
    <s v="Rutuja Milind Jadhav"/>
    <s v="AUTO CAD TECH"/>
    <n v="9876501250"/>
    <x v="2"/>
    <d v="1899-12-30T17:23:10"/>
    <m/>
    <x v="1"/>
    <s v="2026"/>
    <x v="2"/>
    <s v="Ahilya Nagar, Maharashtra, Maharashtra"/>
  </r>
  <r>
    <n v="251"/>
    <s v="ST1051"/>
    <s v="Harshal Chandrakant Salve"/>
    <s v="AUTO CAD TECH"/>
    <n v="9876501251"/>
    <x v="2"/>
    <d v="1899-12-30T17:23:14"/>
    <m/>
    <x v="1"/>
    <s v="2026"/>
    <x v="2"/>
    <s v="Chhatrapati Sambhajinagar, Maharashtra"/>
  </r>
  <r>
    <n v="252"/>
    <s v="ST1052"/>
    <s v="Sakshi Vinod Shingare"/>
    <s v="AUTO ASSEMBLY TECH"/>
    <n v="9876501252"/>
    <x v="2"/>
    <d v="1899-12-30T17:23:18"/>
    <m/>
    <x v="1"/>
    <s v="2026"/>
    <x v="2"/>
    <s v="Pune, Maharashtra"/>
  </r>
  <r>
    <n v="253"/>
    <s v="ST1053"/>
    <s v="Ganesh Baban Dhumal"/>
    <s v="IOT NETWORK SPEC"/>
    <n v="9876501253"/>
    <x v="2"/>
    <d v="1899-12-30T17:23:22"/>
    <m/>
    <x v="1"/>
    <s v="2026"/>
    <x v="2"/>
    <s v="Pune, Maharashtra"/>
  </r>
  <r>
    <n v="254"/>
    <s v="ST1054"/>
    <s v="Nikita Subhash Bhise"/>
    <s v="COMPLIANCE AUDIT ANALYST"/>
    <n v="9876501254"/>
    <x v="2"/>
    <d v="1899-12-30T17:23:26"/>
    <m/>
    <x v="1"/>
    <s v="2026"/>
    <x v="2"/>
    <s v="Ahilya Nagar, Maharashtra, Maharashtra"/>
  </r>
  <r>
    <n v="255"/>
    <s v="ST1055"/>
    <s v="Amol Pandurang Kharat"/>
    <s v="ASSEMBLY OP (RAC)"/>
    <n v="9876501255"/>
    <x v="2"/>
    <d v="1899-12-30T17:23:29"/>
    <m/>
    <x v="1"/>
    <s v="2026"/>
    <x v="2"/>
    <s v="Chhatrapati Sambhajinagar, Maharashtra"/>
  </r>
  <r>
    <n v="256"/>
    <s v="ST1056"/>
    <s v="Shraddha Sharad Gorde"/>
    <s v="COMPLIANCE AUDIT ANALYST"/>
    <n v="9876501256"/>
    <x v="2"/>
    <d v="1899-12-30T17:23:32"/>
    <m/>
    <x v="1"/>
    <s v="2026"/>
    <x v="2"/>
    <s v="Pune, Maharashtra"/>
  </r>
  <r>
    <n v="257"/>
    <s v="ST1057"/>
    <s v="Pratik Shivaji Tupe"/>
    <s v="AI/ML ENGINEER"/>
    <n v="9876501257"/>
    <x v="2"/>
    <d v="1899-12-30T17:23:35"/>
    <m/>
    <x v="1"/>
    <s v="2026"/>
    <x v="2"/>
    <s v="Pune, Maharashtra"/>
  </r>
  <r>
    <n v="258"/>
    <s v="ST1058"/>
    <s v="Minal Ravindra Doke"/>
    <s v="COMPLIANCE AUDIT ANALYST"/>
    <n v="9876501258"/>
    <x v="2"/>
    <d v="1899-12-30T17:23:38"/>
    <m/>
    <x v="1"/>
    <s v="2026"/>
    <x v="2"/>
    <s v="Ahilya Nagar, Maharashtra, Maharashtra"/>
  </r>
  <r>
    <n v="259"/>
    <s v="ST1059"/>
    <s v="Vishal Pravin Kokate"/>
    <s v="AUTO CAD TECH"/>
    <n v="9876501259"/>
    <x v="2"/>
    <d v="1899-12-30T17:23:41"/>
    <m/>
    <x v="1"/>
    <s v="2026"/>
    <x v="2"/>
    <s v="Chhatrapati Sambhajinagar, Maharashtra"/>
  </r>
  <r>
    <n v="260"/>
    <s v="ST1060"/>
    <s v="Neha Kishor Dhage"/>
    <s v="CLOUD APP DEV"/>
    <n v="9876501260"/>
    <x v="2"/>
    <d v="1899-12-30T17:23:47"/>
    <m/>
    <x v="1"/>
    <s v="2026"/>
    <x v="2"/>
    <s v="Pune, Maharashtra"/>
  </r>
  <r>
    <n v="261"/>
    <s v="ST1061"/>
    <s v="Akshay Dattatraya Borude"/>
    <s v="IOT NETWORK SPEC"/>
    <n v="9876501261"/>
    <x v="2"/>
    <d v="1899-12-30T17:23:50"/>
    <m/>
    <x v="1"/>
    <s v="2026"/>
    <x v="2"/>
    <s v="Pune, Maharashtra"/>
  </r>
  <r>
    <n v="262"/>
    <s v="ST1062"/>
    <s v="Priti Balasaheb Nagare"/>
    <s v="AUTO ASSEMBLY TECH"/>
    <n v="9876501262"/>
    <x v="2"/>
    <d v="1899-12-30T17:23:53"/>
    <m/>
    <x v="1"/>
    <s v="2026"/>
    <x v="2"/>
    <s v="Ahilya Nagar, Maharashtra, Maharashtra"/>
  </r>
  <r>
    <n v="263"/>
    <s v="ST1063"/>
    <s v="Chetan Hanuman Gawali"/>
    <s v="ASSEMBLY OP (RAC)"/>
    <n v="9876501263"/>
    <x v="2"/>
    <d v="1899-12-30T17:23:57"/>
    <m/>
    <x v="1"/>
    <s v="2026"/>
    <x v="2"/>
    <s v="Chhatrapati Sambhajinagar, Maharashtra"/>
  </r>
  <r>
    <n v="264"/>
    <s v="ST1064"/>
    <s v="Sonali Vilas Shelke"/>
    <s v="CLOUD APP DEV"/>
    <n v="9876501264"/>
    <x v="2"/>
    <d v="1899-12-30T17:24:01"/>
    <m/>
    <x v="1"/>
    <s v="2026"/>
    <x v="2"/>
    <s v="Pune, Maharashtra"/>
  </r>
  <r>
    <n v="265"/>
    <s v="ST1065"/>
    <s v="Swapnil Sopan Raut"/>
    <s v="ASSEMBLY OP (RAC)"/>
    <n v="9876501265"/>
    <x v="2"/>
    <d v="1899-12-30T17:24:05"/>
    <m/>
    <x v="1"/>
    <s v="2026"/>
    <x v="2"/>
    <s v="Pune, Maharashtra"/>
  </r>
  <r>
    <n v="266"/>
    <s v="ST1066"/>
    <s v="Bhagyashree Eknath Pansare"/>
    <s v="EV PRODUCT DESIGN"/>
    <n v="9876501266"/>
    <x v="2"/>
    <d v="1899-12-30T17:24:08"/>
    <m/>
    <x v="1"/>
    <s v="2026"/>
    <x v="2"/>
    <s v="Ahilya Nagar, Maharashtra, Maharashtra"/>
  </r>
  <r>
    <n v="267"/>
    <s v="ST1067"/>
    <s v="Kunal Bharat Pawale"/>
    <s v="ASSEMBLY OP (RAC)"/>
    <n v="9876501267"/>
    <x v="2"/>
    <d v="1899-12-30T17:24:12"/>
    <m/>
    <x v="1"/>
    <s v="2026"/>
    <x v="2"/>
    <s v="Chhatrapati Sambhajinagar, Maharashtra"/>
  </r>
  <r>
    <n v="268"/>
    <s v="ST1068"/>
    <s v="Monika Nitin Kute"/>
    <s v="CLOUD APP DEV"/>
    <n v="9876501268"/>
    <x v="2"/>
    <d v="1899-12-30T17:24:15"/>
    <m/>
    <x v="1"/>
    <s v="2026"/>
    <x v="2"/>
    <s v="Pune, Maharashtra"/>
  </r>
  <r>
    <n v="269"/>
    <s v="ST1069"/>
    <s v="Yogesh Tukaram Dhavale"/>
    <s v="COMPLIANCE AUDIT ANALYST"/>
    <n v="9876501269"/>
    <x v="2"/>
    <d v="1899-12-30T17:24:18"/>
    <m/>
    <x v="1"/>
    <s v="2026"/>
    <x v="2"/>
    <s v="Pune, Maharashtra"/>
  </r>
  <r>
    <n v="270"/>
    <s v="ST1070"/>
    <s v="Reshma Arun Kolhe"/>
    <s v="COMPLIANCE AUDIT ANALYST"/>
    <n v="9876501270"/>
    <x v="2"/>
    <d v="1899-12-30T17:24:22"/>
    <m/>
    <x v="1"/>
    <s v="2026"/>
    <x v="2"/>
    <s v="Chhatrapati Sambhajinagar, Maharashtra"/>
  </r>
  <r>
    <n v="271"/>
    <s v="ST1071"/>
    <s v="Aditya Ashok Londhe"/>
    <s v="AUTO ASSEMBLY TECH"/>
    <n v="9876501271"/>
    <x v="2"/>
    <d v="1899-12-30T17:24:25"/>
    <m/>
    <x v="1"/>
    <s v="2026"/>
    <x v="2"/>
    <s v="Chhatrapati Sambhajinagar, Maharashtra"/>
  </r>
  <r>
    <n v="272"/>
    <s v="ST1072"/>
    <s v="Ruchita Mahendra Jare"/>
    <s v="ASSEMBLY OP (RAC)"/>
    <n v="9876501272"/>
    <x v="2"/>
    <d v="1899-12-30T17:24:29"/>
    <m/>
    <x v="1"/>
    <s v="2026"/>
    <x v="2"/>
    <s v="Pune, Maharashtra"/>
  </r>
  <r>
    <n v="273"/>
    <s v="ST1073"/>
    <s v="Sanket Vijay Ghule"/>
    <s v="CLOUD APP DEV"/>
    <n v="9876501273"/>
    <x v="2"/>
    <d v="1899-12-30T17:24:32"/>
    <m/>
    <x v="1"/>
    <s v="2026"/>
    <x v="2"/>
    <s v="Pune, Maharashtra"/>
  </r>
  <r>
    <n v="274"/>
    <s v="ST1074"/>
    <s v="Shweta Sanjay Shelar"/>
    <s v="AI/ML ENGINEER"/>
    <n v="9876501274"/>
    <x v="2"/>
    <d v="1899-12-30T17:24:35"/>
    <m/>
    <x v="1"/>
    <s v="2026"/>
    <x v="2"/>
    <s v="Ahilya Nagar, Maharashtra, Maharashtra"/>
  </r>
  <r>
    <n v="275"/>
    <s v="ST1075"/>
    <s v="Ajinkya Narayan Wankhede"/>
    <s v="ASSEMBLY OP (RAC)"/>
    <n v="9876501275"/>
    <x v="2"/>
    <d v="1899-12-30T17:24:38"/>
    <m/>
    <x v="1"/>
    <s v="2026"/>
    <x v="2"/>
    <s v="Chhatrapati Sambhajinagar, Maharashtra"/>
  </r>
  <r>
    <n v="276"/>
    <s v="ST1076"/>
    <s v="Pooja Dnyaneshwar Karale"/>
    <s v="IOT NETWORK SPEC"/>
    <n v="9876501276"/>
    <x v="2"/>
    <d v="1899-12-30T17:24:42"/>
    <m/>
    <x v="1"/>
    <s v="2026"/>
    <x v="2"/>
    <s v="Pune, Maharashtra"/>
  </r>
  <r>
    <n v="277"/>
    <s v="ST1077"/>
    <s v="Prathamesh Dnyaneshwar Jadhav"/>
    <s v="AI BI ANALYST"/>
    <n v="9834512701"/>
    <x v="2"/>
    <d v="1899-12-30T17:24:46"/>
    <m/>
    <x v="1"/>
    <s v="2026"/>
    <x v="2"/>
    <s v="Hadapsar, Pune"/>
  </r>
  <r>
    <n v="278"/>
    <s v="ST1078"/>
    <s v="Vaishnavi Ashok Pawar"/>
    <s v="IOT DOMAIN SPEC"/>
    <n v="9834512702"/>
    <x v="2"/>
    <d v="1899-12-30T17:24:50"/>
    <m/>
    <x v="1"/>
    <s v="2026"/>
    <x v="2"/>
    <s v="Wagholi, Pune"/>
  </r>
  <r>
    <n v="279"/>
    <s v="ST1079"/>
    <s v="Omkar Rajendra Kale"/>
    <s v="IOT DOMAIN SPEC"/>
    <n v="9834512703"/>
    <x v="2"/>
    <d v="1899-12-30T17:24:53"/>
    <m/>
    <x v="1"/>
    <s v="2026"/>
    <x v="2"/>
    <s v="Chakan, Pune"/>
  </r>
  <r>
    <n v="280"/>
    <s v="ST1080"/>
    <s v="Snehal Sunil Ghadge"/>
    <s v="AI/ML ENGINEER"/>
    <n v="9834512704"/>
    <x v="2"/>
    <d v="1899-12-30T17:24:57"/>
    <m/>
    <x v="1"/>
    <s v="2026"/>
    <x v="2"/>
    <s v="Kharadi, Pune"/>
  </r>
  <r>
    <n v="281"/>
    <s v="ST1081"/>
    <s v="Tejas Vilas Shinde"/>
    <s v="CLOUD APP DEV"/>
    <n v="9834512705"/>
    <x v="2"/>
    <d v="1899-12-30T17:25:01"/>
    <m/>
    <x v="1"/>
    <s v="2026"/>
    <x v="2"/>
    <s v="Hinjawadi, Pune"/>
  </r>
  <r>
    <n v="282"/>
    <s v="ST1082"/>
    <s v="Aditi Prakash More"/>
    <s v="ASSEMBLY OP (RAC)"/>
    <n v="9834512706"/>
    <x v="2"/>
    <d v="1899-12-30T17:25:28"/>
    <m/>
    <x v="1"/>
    <s v="2026"/>
    <x v="2"/>
    <s v="Baner, Pune"/>
  </r>
  <r>
    <n v="283"/>
    <s v="ST1083"/>
    <s v="Sanket Dattatraya Chavan"/>
    <s v="AUTO CAD TECH"/>
    <n v="9834512707"/>
    <x v="2"/>
    <d v="1899-12-30T17:25:32"/>
    <m/>
    <x v="1"/>
    <s v="2026"/>
    <x v="2"/>
    <s v="Wakad, Pune"/>
  </r>
  <r>
    <n v="284"/>
    <s v="ST1084"/>
    <s v="Rutuja Mahendra Gaikwad"/>
    <s v="AUTO CAD TECH"/>
    <n v="9834512708"/>
    <x v="2"/>
    <d v="1899-12-30T17:25:35"/>
    <m/>
    <x v="1"/>
    <s v="2026"/>
    <x v="2"/>
    <s v="Pimpri, Pune"/>
  </r>
  <r>
    <n v="285"/>
    <s v="ST1085"/>
    <s v="Akshay Ravindra Bhosale"/>
    <s v="IOT NETWORK SPEC"/>
    <n v="9834512709"/>
    <x v="2"/>
    <d v="1899-12-30T17:25:38"/>
    <m/>
    <x v="1"/>
    <s v="2026"/>
    <x v="2"/>
    <s v="Chinchwad, Pune"/>
  </r>
  <r>
    <n v="286"/>
    <s v="ST1086"/>
    <s v="Komal Sanjay Kharat"/>
    <s v="IOT DOMAIN SPEC"/>
    <n v="9834512710"/>
    <x v="2"/>
    <d v="1899-12-30T17:25:43"/>
    <m/>
    <x v="1"/>
    <s v="2026"/>
    <x v="2"/>
    <s v="Talegaon, Pune"/>
  </r>
  <r>
    <n v="287"/>
    <s v="ST1087"/>
    <s v="Rohit Shrikant Wagh"/>
    <s v="AUTO CAD TECH"/>
    <n v="9834512711"/>
    <x v="2"/>
    <d v="1899-12-30T17:25:46"/>
    <m/>
    <x v="1"/>
    <s v="2026"/>
    <x v="2"/>
    <s v="Moshi, Pune"/>
  </r>
  <r>
    <n v="288"/>
    <s v="ST1088"/>
    <s v="Pooja Vijay Dhumal"/>
    <s v="AUTO ASSEMBLY TECH"/>
    <n v="9834512712"/>
    <x v="2"/>
    <d v="1899-12-30T17:25:52"/>
    <m/>
    <x v="1"/>
    <s v="2026"/>
    <x v="2"/>
    <s v="Bhosari, Pune"/>
  </r>
  <r>
    <n v="289"/>
    <s v="ST1089"/>
    <s v="Nikhil Ashok Thorat"/>
    <s v="EV PRODUCT DESIGN"/>
    <n v="9834512713"/>
    <x v="2"/>
    <d v="1899-12-30T17:25:56"/>
    <m/>
    <x v="1"/>
    <s v="2026"/>
    <x v="2"/>
    <s v="Alandi, Pune"/>
  </r>
  <r>
    <n v="290"/>
    <s v="ST1090"/>
    <s v="Mansi Santosh Gawali"/>
    <s v="ASSEMBLY OP (RAC)"/>
    <n v="9834512714"/>
    <x v="2"/>
    <d v="1899-12-30T17:26:02"/>
    <m/>
    <x v="1"/>
    <s v="2026"/>
    <x v="2"/>
    <s v="Lohegaon, Pune"/>
  </r>
  <r>
    <n v="291"/>
    <s v="ST1001"/>
    <s v="Aarav Rajesh Sharma"/>
    <s v="AI/ML ENGINEER"/>
    <n v="9876501201"/>
    <x v="3"/>
    <d v="1899-12-30T12:01:00"/>
    <m/>
    <x v="1"/>
    <s v="2026"/>
    <x v="3"/>
    <s v="Pune, Maharashtra"/>
  </r>
  <r>
    <n v="292"/>
    <s v="ST1001"/>
    <s v="Aarav Rajesh Sharma"/>
    <s v="AI/ML ENGINEER"/>
    <n v="9876501201"/>
    <x v="4"/>
    <d v="1899-12-30T11:50:19"/>
    <d v="1899-12-30T11:50:44"/>
    <x v="1"/>
    <s v="2026"/>
    <x v="4"/>
    <s v="Pune, Maharashtra"/>
  </r>
  <r>
    <n v="293"/>
    <s v="ST1002"/>
    <s v="Ananya Sunil Patil"/>
    <s v="AI BI ANALYST"/>
    <n v="9876501202"/>
    <x v="4"/>
    <d v="1899-12-30T11:50:24"/>
    <d v="1899-12-30T11:50:48"/>
    <x v="1"/>
    <s v="2026"/>
    <x v="4"/>
    <s v="Nashik, Maharashtra"/>
  </r>
  <r>
    <n v="294"/>
    <s v="ST1003"/>
    <s v="Vivaan Sanjay Gupta"/>
    <s v="CLOUD APP DEV"/>
    <n v="9876501203"/>
    <x v="4"/>
    <d v="1899-12-30T11:50:29"/>
    <d v="1899-12-30T11:50:58"/>
    <x v="1"/>
    <s v="2026"/>
    <x v="4"/>
    <s v="Nagpur, Maharashtra"/>
  </r>
  <r>
    <n v="295"/>
    <s v="ST1004"/>
    <s v="Diya Mahesh Joshi"/>
    <s v="AI BI ANALYST"/>
    <n v="9876501204"/>
    <x v="4"/>
    <d v="1899-12-30T11:50:34"/>
    <d v="1899-12-30T11:51:10"/>
    <x v="1"/>
    <s v="2026"/>
    <x v="4"/>
    <s v="Mumbai, Maharashtr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1AE66F-39FA-44CF-BE81-427B2FB55349}" name="PT_Today" cacheId="4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H9:I15" firstHeaderRow="1" firstDataRow="1" firstDataCol="1"/>
  <pivotFields count="14">
    <pivotField showAll="0"/>
    <pivotField dataField="1"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x="7"/>
        <item h="1" sd="0" x="8"/>
        <item h="1" sd="0" x="9"/>
        <item h="1" sd="0" x="10"/>
        <item h="1" sd="0" x="11"/>
        <item h="1" sd="0" x="12"/>
        <item h="1" sd="0" x="13"/>
        <item t="default" sd="0"/>
      </items>
    </pivotField>
  </pivotFields>
  <rowFields count="2">
    <field x="13"/>
    <field x="12"/>
  </rowFields>
  <rowItems count="6">
    <i>
      <x v="7"/>
    </i>
    <i r="1">
      <x v="183"/>
    </i>
    <i r="1">
      <x v="185"/>
    </i>
    <i r="1">
      <x v="186"/>
    </i>
    <i r="1">
      <x v="187"/>
    </i>
    <i t="grand">
      <x/>
    </i>
  </rowItems>
  <colItems count="1">
    <i/>
  </colItems>
  <dataFields count="1">
    <dataField name="Count of Student_ID" fld="1" subtotal="count" baseField="0" baseItem="0"/>
  </dataField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B9335-2B38-4DDE-88B9-299E9E41DF8B}" name="PT_Month" cacheId="444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39">
  <location ref="A29:B32" firstHeaderRow="1" firstDataRow="1" firstDataCol="1"/>
  <pivotFields count="14">
    <pivotField showAll="0"/>
    <pivotField dataField="1" showAll="0" countASubtotal="1"/>
    <pivotField showAll="0"/>
    <pivotField showAll="0"/>
    <pivotField showAll="0"/>
    <pivotField numFmtId="164" showAll="0">
      <items count="6">
        <item x="0"/>
        <item x="1"/>
        <item x="2"/>
        <item x="3"/>
        <item x="4"/>
        <item t="default"/>
      </items>
    </pivotField>
    <pivotField numFmtId="165"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Student_ID" fld="1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BB1D6C-4E86-4263-BF37-762D54638BA3}" name="PT_Status" cacheId="438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7">
  <location ref="E18:F21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3">
        <item n="Outside" x="1"/>
        <item n="Inside" x="0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Count of Student_ID" fld="0" subtotal="count" baseField="0" baseItem="0"/>
  </dataFields>
  <chartFormats count="3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6E1454-7078-4144-A67E-09523EEF971F}" name="PT_INOUT" cacheId="4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E9:F12" firstHeaderRow="1" firstDataRow="1" firstDataCol="1"/>
  <pivotFields count="2">
    <pivotField axis="axisRow" showAll="0">
      <items count="3">
        <item n="IN" x="0"/>
        <item n="OUT" x="1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Count" fld="1" baseField="0" baseItem="1"/>
  </dataFields>
  <chartFormats count="3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0EDA4-40AA-4DF8-B492-1B4D5C4AA899}" name="PT_Course" cacheId="4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6">
  <location ref="B9:C21" firstHeaderRow="1" firstDataRow="1" firstDataCol="1"/>
  <pivotFields count="6">
    <pivotField dataField="1" showAll="0"/>
    <pivotField showAll="0"/>
    <pivotField showAll="0"/>
    <pivotField axis="axisRow" showAll="0" sortType="descending">
      <items count="23">
        <item n="IOT-NS" x="6"/>
        <item n="IOT-DS" x="8"/>
        <item m="1" x="14"/>
        <item m="1" x="15"/>
        <item n="EV" x="7"/>
        <item m="1" x="20"/>
        <item n="AEPSC" x="5"/>
        <item m="1" x="16"/>
        <item n="CLOUD" x="2"/>
        <item m="1" x="17"/>
        <item m="1" x="21"/>
        <item n="AUTO CAD" x="3"/>
        <item n="AUTO ASSY" x="9"/>
        <item n="ASSY OP (RAC)" x="4"/>
        <item m="1" x="18"/>
        <item m="1" x="19"/>
        <item m="1" x="13"/>
        <item n="AIML" x="0"/>
        <item n="AIBI" x="1"/>
        <item m="1" x="11"/>
        <item m="1" x="12"/>
        <item n="ACAC"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</pivotFields>
  <rowFields count="1">
    <field x="3"/>
  </rowFields>
  <rowItems count="12">
    <i>
      <x v="8"/>
    </i>
    <i>
      <x v="17"/>
    </i>
    <i>
      <x v="13"/>
    </i>
    <i>
      <x v="18"/>
    </i>
    <i>
      <x v="6"/>
    </i>
    <i>
      <x/>
    </i>
    <i>
      <x v="11"/>
    </i>
    <i>
      <x v="4"/>
    </i>
    <i>
      <x v="12"/>
    </i>
    <i>
      <x v="1"/>
    </i>
    <i>
      <x v="21"/>
    </i>
    <i t="grand">
      <x/>
    </i>
  </rowItems>
  <colItems count="1">
    <i/>
  </colItems>
  <dataFields count="1">
    <dataField name="Count of Student_ID" fld="0" subtotal="count" baseField="0" baseItem="0"/>
  </dataFields>
  <formats count="1">
    <format dxfId="0">
      <pivotArea dataOnly="0" labelOnly="1" fieldPosition="0">
        <references count="1">
          <reference field="3" count="0"/>
        </references>
      </pivotArea>
    </format>
  </formats>
  <chartFormats count="1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7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3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8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98B459-6D06-4AF7-B097-99DFC3FD3662}" name="PT_Area" cacheId="4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I29:J97" firstHeaderRow="1" firstDataRow="1" firstDataCol="1"/>
  <pivotFields count="6">
    <pivotField dataField="1" showAll="0"/>
    <pivotField showAll="0"/>
    <pivotField showAll="0"/>
    <pivotField showAll="0"/>
    <pivotField axis="axisRow" showAll="0">
      <items count="72">
        <item m="1" x="69"/>
        <item x="10"/>
        <item m="1" x="68"/>
        <item x="13"/>
        <item x="45"/>
        <item x="17"/>
        <item x="38"/>
        <item x="51"/>
        <item x="11"/>
        <item x="44"/>
        <item x="27"/>
        <item x="35"/>
        <item x="22"/>
        <item x="4"/>
        <item x="41"/>
        <item x="47"/>
        <item x="14"/>
        <item x="54"/>
        <item x="31"/>
        <item x="56"/>
        <item x="30"/>
        <item x="29"/>
        <item x="33"/>
        <item x="25"/>
        <item x="37"/>
        <item x="16"/>
        <item x="5"/>
        <item x="65"/>
        <item m="1" x="70"/>
        <item x="49"/>
        <item x="36"/>
        <item x="6"/>
        <item x="48"/>
        <item x="12"/>
        <item x="46"/>
        <item x="43"/>
        <item x="3"/>
        <item x="57"/>
        <item x="2"/>
        <item x="20"/>
        <item x="55"/>
        <item x="1"/>
        <item x="18"/>
        <item x="63"/>
        <item x="52"/>
        <item x="19"/>
        <item x="62"/>
        <item x="40"/>
        <item x="0"/>
        <item x="60"/>
        <item x="61"/>
        <item x="23"/>
        <item x="53"/>
        <item x="59"/>
        <item x="9"/>
        <item x="8"/>
        <item x="64"/>
        <item x="50"/>
        <item x="58"/>
        <item x="24"/>
        <item x="7"/>
        <item x="42"/>
        <item x="15"/>
        <item x="34"/>
        <item x="39"/>
        <item x="21"/>
        <item x="26"/>
        <item x="28"/>
        <item x="32"/>
        <item m="1" x="67"/>
        <item x="66"/>
        <item t="default"/>
      </items>
    </pivotField>
    <pivotField showAll="0"/>
  </pivotFields>
  <rowFields count="1">
    <field x="4"/>
  </rowFields>
  <rowItems count="68"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 t="grand">
      <x/>
    </i>
  </rowItems>
  <colItems count="1">
    <i/>
  </colItems>
  <dataFields count="1">
    <dataField name="Count of Student_ID" fld="0" subtotal="count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46964E-BE31-433F-8B0E-9069211F771F}" name="PT_Day" cacheId="4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E29:F35" firstHeaderRow="1" firstDataRow="1" firstDataCol="1"/>
  <pivotFields count="14">
    <pivotField showAll="0"/>
    <pivotField dataField="1" showAll="0"/>
    <pivotField showAll="0"/>
    <pivotField showAll="0"/>
    <pivotField showAll="0"/>
    <pivotField numFmtId="164" showAll="0">
      <items count="6">
        <item x="0"/>
        <item x="1"/>
        <item x="2"/>
        <item x="3"/>
        <item x="4"/>
        <item t="default"/>
      </items>
    </pivotField>
    <pivotField numFmtId="165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Student_ID" fld="1" subtotal="count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6243AD-F19C-497E-B319-F51E42F43EE4}" name="tblStudents" displayName="tblStudents" ref="A1:F114" totalsRowShown="0" headerRowDxfId="26" dataDxfId="24" headerRowBorderDxfId="25" tableBorderDxfId="23">
  <autoFilter ref="A1:F114" xr:uid="{3A6243AD-F19C-497E-B319-F51E42F43EE4}"/>
  <tableColumns count="6">
    <tableColumn id="1" xr3:uid="{A8649E5D-0C1D-40C1-BB58-16A6996BE4CF}" name="Student_ID" dataDxfId="22"/>
    <tableColumn id="2" xr3:uid="{3053700E-B0A6-4AC9-810F-CEFC9BD6C8C9}" name="Name" dataDxfId="21"/>
    <tableColumn id="3" xr3:uid="{C559745D-1D86-49CF-AF82-68DD1DA8B95C}" name="Mobile" dataDxfId="20"/>
    <tableColumn id="4" xr3:uid="{14AADBD7-EC1C-4883-AF05-CD4F7F31E5C3}" name="Course" dataDxfId="19"/>
    <tableColumn id="5" xr3:uid="{DC23C35C-00A5-4864-939D-18C41E1E38AD}" name="Address" dataDxfId="18"/>
    <tableColumn id="6" xr3:uid="{0D7128FE-7DE5-40D8-97AB-44A1E1AB1887}" name="Status" dataDxfId="1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20CCD8-DCB7-4376-B9A6-8E7CB64DB297}" name="tblAttendance" displayName="tblAttendance" ref="A1:L296" totalsRowShown="0" headerRowDxfId="16" dataDxfId="14" headerRowBorderDxfId="15" tableBorderDxfId="13">
  <autoFilter ref="A1:L296" xr:uid="{FB20CCD8-DCB7-4376-B9A6-8E7CB64DB297}"/>
  <tableColumns count="12">
    <tableColumn id="1" xr3:uid="{0CC5FFA2-9E4B-43C1-B671-EA0FBAECB9D1}" name="SrNo" dataDxfId="12"/>
    <tableColumn id="2" xr3:uid="{1B16C720-609A-44FC-A1BF-8C2634557AEC}" name="Student_ID" dataDxfId="11"/>
    <tableColumn id="3" xr3:uid="{5F278F4F-9381-4AF2-828E-AE81964E53F4}" name="Name" dataDxfId="10"/>
    <tableColumn id="4" xr3:uid="{5CE95ACC-7025-42F5-BC72-DADDAF0814CD}" name="Course" dataDxfId="9"/>
    <tableColumn id="5" xr3:uid="{996D4F7D-35B6-4F1D-B41A-959CA8D1F69B}" name="Mobile" dataDxfId="8"/>
    <tableColumn id="6" xr3:uid="{6EAF2A8B-31B1-4577-A627-E9F628F05A82}" name="Date" dataDxfId="7"/>
    <tableColumn id="7" xr3:uid="{87340E8D-99C7-4471-828F-795798FA7F76}" name="In_Time" dataDxfId="6"/>
    <tableColumn id="8" xr3:uid="{87065076-9618-4C52-8B0D-792D498DC005}" name="Out_Time" dataDxfId="5"/>
    <tableColumn id="9" xr3:uid="{EFA77A94-2994-4FC5-AF87-F578230AA804}" name="Month" dataDxfId="4">
      <calculatedColumnFormula>TEXT(tblAttendance[[#This Row],[Date]],"mmm")</calculatedColumnFormula>
    </tableColumn>
    <tableColumn id="10" xr3:uid="{81F0B922-74B8-44CD-A01B-910E4BB51DFB}" name="Year" dataDxfId="3">
      <calculatedColumnFormula>TEXT(tblAttendance[[#This Row],[Date]],"yyyy")</calculatedColumnFormula>
    </tableColumn>
    <tableColumn id="11" xr3:uid="{F8BCE7E2-8258-4C1E-B36D-43B1FC6C9B40}" name="Day" dataDxfId="2">
      <calculatedColumnFormula>TEXT(tblAttendance[[#This Row],[Date]],"dddd")</calculatedColumnFormula>
    </tableColumn>
    <tableColumn id="12" xr3:uid="{FAB07F36-11C8-402B-8389-1F4D0E4A0E1E}" name="Area" dataDxfId="1">
      <calculatedColumnFormula>_xlfn.XLOOKUP(tblAttendance[[#This Row],[Student_ID]],tblStudents[Student_ID],tblStudents[Address])</calculatedColumnFormula>
    </tableColumn>
  </tableColumns>
  <tableStyleInfo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Candara">
      <a:maj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ndara" panose="020E0502030303020204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94EE8EC-409D-4261-8FC2-F982B8817769}">
  <we:reference id="wa200001584" version="3.0.5.6" store="en-US" storeType="OMEX"/>
  <we:alternateReferences>
    <we:reference id="WA200001584" version="3.0.5.6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8F84-7FAD-4EEE-B4AD-2CA191EFE66E}">
  <sheetPr codeName="Sheet1">
    <tabColor rgb="FFC435EB"/>
  </sheetPr>
  <dimension ref="A1:E12"/>
  <sheetViews>
    <sheetView showGridLines="0" topLeftCell="C1" zoomScale="112" workbookViewId="0">
      <selection activeCell="D7" sqref="D7"/>
    </sheetView>
  </sheetViews>
  <sheetFormatPr defaultRowHeight="13.8" x14ac:dyDescent="0.3"/>
  <cols>
    <col min="1" max="1" width="16.69921875" style="13" customWidth="1"/>
    <col min="2" max="3" width="8.796875" style="13"/>
    <col min="4" max="4" width="44.8984375" style="14" customWidth="1"/>
    <col min="5" max="5" width="34" style="13" bestFit="1" customWidth="1"/>
    <col min="6" max="6" width="21.796875" style="13" bestFit="1" customWidth="1"/>
    <col min="7" max="16384" width="8.796875" style="13"/>
  </cols>
  <sheetData>
    <row r="1" spans="1:5" ht="14.4" x14ac:dyDescent="0.3">
      <c r="A1" s="16" t="s">
        <v>10</v>
      </c>
      <c r="B1" s="13">
        <v>1113</v>
      </c>
      <c r="D1" s="15" t="s">
        <v>11</v>
      </c>
      <c r="E1" s="34" t="s">
        <v>351</v>
      </c>
    </row>
    <row r="2" spans="1:5" ht="14.4" x14ac:dyDescent="0.3">
      <c r="D2" t="s">
        <v>340</v>
      </c>
      <c r="E2" s="14" t="s">
        <v>12</v>
      </c>
    </row>
    <row r="3" spans="1:5" x14ac:dyDescent="0.3">
      <c r="D3" s="14" t="s">
        <v>341</v>
      </c>
      <c r="E3" s="14" t="s">
        <v>13</v>
      </c>
    </row>
    <row r="4" spans="1:5" x14ac:dyDescent="0.3">
      <c r="D4" s="14" t="s">
        <v>342</v>
      </c>
      <c r="E4" s="14" t="s">
        <v>14</v>
      </c>
    </row>
    <row r="5" spans="1:5" x14ac:dyDescent="0.3">
      <c r="D5" s="14" t="s">
        <v>343</v>
      </c>
      <c r="E5" s="14" t="s">
        <v>15</v>
      </c>
    </row>
    <row r="6" spans="1:5" x14ac:dyDescent="0.3">
      <c r="D6" s="14" t="s">
        <v>344</v>
      </c>
      <c r="E6" s="14" t="s">
        <v>16</v>
      </c>
    </row>
    <row r="7" spans="1:5" x14ac:dyDescent="0.3">
      <c r="D7" s="14" t="s">
        <v>345</v>
      </c>
      <c r="E7" s="14" t="s">
        <v>17</v>
      </c>
    </row>
    <row r="8" spans="1:5" x14ac:dyDescent="0.3">
      <c r="D8" s="14" t="s">
        <v>346</v>
      </c>
      <c r="E8" s="14" t="s">
        <v>18</v>
      </c>
    </row>
    <row r="9" spans="1:5" x14ac:dyDescent="0.3">
      <c r="D9" s="14" t="s">
        <v>347</v>
      </c>
      <c r="E9" s="14" t="s">
        <v>19</v>
      </c>
    </row>
    <row r="10" spans="1:5" x14ac:dyDescent="0.3">
      <c r="D10" s="14" t="s">
        <v>348</v>
      </c>
      <c r="E10" s="14" t="s">
        <v>20</v>
      </c>
    </row>
    <row r="11" spans="1:5" x14ac:dyDescent="0.3">
      <c r="D11" s="14" t="s">
        <v>349</v>
      </c>
      <c r="E11" s="14" t="s">
        <v>21</v>
      </c>
    </row>
    <row r="12" spans="1:5" x14ac:dyDescent="0.3">
      <c r="D12" s="14" t="s">
        <v>350</v>
      </c>
      <c r="E12" s="14" t="s">
        <v>22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5677-AF72-4108-A0A1-F834F5F48060}">
  <sheetPr codeName="Sheet4">
    <tabColor rgb="FF0070C0"/>
  </sheetPr>
  <dimension ref="Q1:T1"/>
  <sheetViews>
    <sheetView showGridLines="0" showRowColHeaders="0" tabSelected="1" topLeftCell="A2" zoomScale="80" zoomScaleNormal="80" zoomScaleSheetLayoutView="86" workbookViewId="0">
      <selection activeCell="F69" sqref="F69"/>
    </sheetView>
  </sheetViews>
  <sheetFormatPr defaultColWidth="8" defaultRowHeight="14.4" x14ac:dyDescent="0.3"/>
  <cols>
    <col min="1" max="15" width="8.796875" style="2" customWidth="1"/>
    <col min="16" max="16" width="9.5" style="2" customWidth="1"/>
    <col min="17" max="20" width="8.796875" style="2" hidden="1" customWidth="1"/>
    <col min="21" max="40" width="8.796875" style="2" customWidth="1"/>
    <col min="41" max="16384" width="8" style="2"/>
  </cols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B410-D30A-43DA-8947-BC957EE2B89C}">
  <sheetPr codeName="Sheet3">
    <tabColor theme="1" tint="0.34998626667073579"/>
  </sheetPr>
  <dimension ref="A1:F114"/>
  <sheetViews>
    <sheetView showGridLines="0" showRowColHeaders="0" zoomScale="90" zoomScaleNormal="90" workbookViewId="0">
      <pane ySplit="1" topLeftCell="A2" activePane="bottomLeft" state="frozen"/>
      <selection pane="bottomLeft" activeCell="D119" sqref="D119"/>
    </sheetView>
  </sheetViews>
  <sheetFormatPr defaultRowHeight="13.8" x14ac:dyDescent="0.3"/>
  <cols>
    <col min="1" max="1" width="14.296875" style="7" customWidth="1"/>
    <col min="2" max="2" width="35.59765625" style="8" customWidth="1"/>
    <col min="3" max="3" width="18.796875" style="7" customWidth="1"/>
    <col min="4" max="4" width="40.59765625" style="8" customWidth="1"/>
    <col min="5" max="5" width="46.69921875" style="8" customWidth="1"/>
    <col min="6" max="6" width="18.69921875" style="7" customWidth="1"/>
    <col min="7" max="16384" width="8.796875" style="5"/>
  </cols>
  <sheetData>
    <row r="1" spans="1:6" s="6" customFormat="1" ht="30" customHeight="1" x14ac:dyDescent="0.3">
      <c r="A1" s="26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8" t="s">
        <v>5</v>
      </c>
    </row>
    <row r="2" spans="1:6" x14ac:dyDescent="0.3">
      <c r="A2" s="24" t="s">
        <v>27</v>
      </c>
      <c r="B2" s="8" t="s">
        <v>24</v>
      </c>
      <c r="C2" s="7">
        <v>9876501201</v>
      </c>
      <c r="D2" s="8" t="s">
        <v>349</v>
      </c>
      <c r="E2" s="8" t="s">
        <v>25</v>
      </c>
      <c r="F2" s="25" t="s">
        <v>26</v>
      </c>
    </row>
    <row r="3" spans="1:6" x14ac:dyDescent="0.3">
      <c r="A3" s="24" t="s">
        <v>28</v>
      </c>
      <c r="B3" s="8" t="s">
        <v>29</v>
      </c>
      <c r="C3" s="7">
        <v>9876501202</v>
      </c>
      <c r="D3" s="8" t="s">
        <v>350</v>
      </c>
      <c r="E3" s="8" t="s">
        <v>30</v>
      </c>
      <c r="F3" s="25" t="s">
        <v>26</v>
      </c>
    </row>
    <row r="4" spans="1:6" x14ac:dyDescent="0.3">
      <c r="A4" s="24" t="s">
        <v>31</v>
      </c>
      <c r="B4" s="8" t="s">
        <v>32</v>
      </c>
      <c r="C4" s="7">
        <v>9876501203</v>
      </c>
      <c r="D4" s="8" t="s">
        <v>344</v>
      </c>
      <c r="E4" s="8" t="s">
        <v>33</v>
      </c>
      <c r="F4" s="25" t="s">
        <v>26</v>
      </c>
    </row>
    <row r="5" spans="1:6" x14ac:dyDescent="0.3">
      <c r="A5" s="24" t="s">
        <v>34</v>
      </c>
      <c r="B5" s="8" t="s">
        <v>35</v>
      </c>
      <c r="C5" s="7">
        <v>9876501204</v>
      </c>
      <c r="D5" s="8" t="s">
        <v>350</v>
      </c>
      <c r="E5" s="8" t="s">
        <v>36</v>
      </c>
      <c r="F5" s="25" t="s">
        <v>26</v>
      </c>
    </row>
    <row r="6" spans="1:6" x14ac:dyDescent="0.3">
      <c r="A6" s="24" t="s">
        <v>37</v>
      </c>
      <c r="B6" s="8" t="s">
        <v>38</v>
      </c>
      <c r="C6" s="7">
        <v>9876501205</v>
      </c>
      <c r="D6" s="8" t="s">
        <v>350</v>
      </c>
      <c r="E6" s="8" t="s">
        <v>39</v>
      </c>
      <c r="F6" s="25" t="s">
        <v>26</v>
      </c>
    </row>
    <row r="7" spans="1:6" x14ac:dyDescent="0.3">
      <c r="A7" s="24" t="s">
        <v>23</v>
      </c>
      <c r="B7" s="8" t="s">
        <v>40</v>
      </c>
      <c r="C7" s="7">
        <v>9876501206</v>
      </c>
      <c r="D7" s="8" t="s">
        <v>344</v>
      </c>
      <c r="E7" s="8" t="s">
        <v>41</v>
      </c>
      <c r="F7" s="25" t="s">
        <v>26</v>
      </c>
    </row>
    <row r="8" spans="1:6" x14ac:dyDescent="0.3">
      <c r="A8" s="24" t="s">
        <v>42</v>
      </c>
      <c r="B8" s="8" t="s">
        <v>43</v>
      </c>
      <c r="C8" s="7">
        <v>9876501207</v>
      </c>
      <c r="D8" s="8" t="s">
        <v>344</v>
      </c>
      <c r="E8" s="8" t="s">
        <v>25</v>
      </c>
      <c r="F8" s="25" t="s">
        <v>26</v>
      </c>
    </row>
    <row r="9" spans="1:6" x14ac:dyDescent="0.3">
      <c r="A9" s="24" t="s">
        <v>44</v>
      </c>
      <c r="B9" s="8" t="s">
        <v>45</v>
      </c>
      <c r="C9" s="7">
        <v>9876501208</v>
      </c>
      <c r="D9" s="8" t="s">
        <v>350</v>
      </c>
      <c r="E9" s="8" t="s">
        <v>46</v>
      </c>
      <c r="F9" s="25" t="s">
        <v>26</v>
      </c>
    </row>
    <row r="10" spans="1:6" x14ac:dyDescent="0.3">
      <c r="A10" s="24" t="s">
        <v>47</v>
      </c>
      <c r="B10" s="8" t="s">
        <v>48</v>
      </c>
      <c r="C10" s="7">
        <v>9876501209</v>
      </c>
      <c r="D10" s="8" t="s">
        <v>349</v>
      </c>
      <c r="E10" s="8" t="s">
        <v>49</v>
      </c>
      <c r="F10" s="25" t="s">
        <v>26</v>
      </c>
    </row>
    <row r="11" spans="1:6" x14ac:dyDescent="0.3">
      <c r="A11" s="24" t="s">
        <v>50</v>
      </c>
      <c r="B11" s="8" t="s">
        <v>51</v>
      </c>
      <c r="C11" s="7">
        <v>9876501210</v>
      </c>
      <c r="D11" s="8" t="s">
        <v>349</v>
      </c>
      <c r="E11" s="8" t="s">
        <v>52</v>
      </c>
      <c r="F11" s="25" t="s">
        <v>26</v>
      </c>
    </row>
    <row r="12" spans="1:6" x14ac:dyDescent="0.3">
      <c r="A12" s="24" t="s">
        <v>53</v>
      </c>
      <c r="B12" s="8" t="s">
        <v>54</v>
      </c>
      <c r="C12" s="7">
        <v>9876501211</v>
      </c>
      <c r="D12" s="8" t="s">
        <v>350</v>
      </c>
      <c r="E12" s="8" t="s">
        <v>55</v>
      </c>
      <c r="F12" s="25" t="s">
        <v>26</v>
      </c>
    </row>
    <row r="13" spans="1:6" x14ac:dyDescent="0.3">
      <c r="A13" s="24" t="s">
        <v>56</v>
      </c>
      <c r="B13" s="8" t="s">
        <v>57</v>
      </c>
      <c r="C13" s="7">
        <v>9876501212</v>
      </c>
      <c r="D13" s="8" t="s">
        <v>350</v>
      </c>
      <c r="E13" s="8" t="s">
        <v>131</v>
      </c>
      <c r="F13" s="25" t="s">
        <v>26</v>
      </c>
    </row>
    <row r="14" spans="1:6" x14ac:dyDescent="0.3">
      <c r="A14" s="24" t="s">
        <v>58</v>
      </c>
      <c r="B14" s="8" t="s">
        <v>59</v>
      </c>
      <c r="C14" s="7">
        <v>9876501213</v>
      </c>
      <c r="D14" s="8" t="s">
        <v>350</v>
      </c>
      <c r="E14" s="8" t="s">
        <v>60</v>
      </c>
      <c r="F14" s="25" t="s">
        <v>26</v>
      </c>
    </row>
    <row r="15" spans="1:6" x14ac:dyDescent="0.3">
      <c r="A15" s="24" t="s">
        <v>61</v>
      </c>
      <c r="B15" s="8" t="s">
        <v>62</v>
      </c>
      <c r="C15" s="7">
        <v>9876501214</v>
      </c>
      <c r="D15" s="8" t="s">
        <v>344</v>
      </c>
      <c r="E15" s="8" t="s">
        <v>63</v>
      </c>
      <c r="F15" s="25" t="s">
        <v>26</v>
      </c>
    </row>
    <row r="16" spans="1:6" x14ac:dyDescent="0.3">
      <c r="A16" s="24" t="s">
        <v>64</v>
      </c>
      <c r="B16" s="8" t="s">
        <v>65</v>
      </c>
      <c r="C16" s="7">
        <v>9876501215</v>
      </c>
      <c r="D16" s="8" t="s">
        <v>344</v>
      </c>
      <c r="E16" s="8" t="s">
        <v>66</v>
      </c>
      <c r="F16" s="25" t="s">
        <v>26</v>
      </c>
    </row>
    <row r="17" spans="1:6" x14ac:dyDescent="0.3">
      <c r="A17" s="24" t="s">
        <v>67</v>
      </c>
      <c r="B17" s="8" t="s">
        <v>68</v>
      </c>
      <c r="C17" s="7">
        <v>9876501216</v>
      </c>
      <c r="D17" s="8" t="s">
        <v>349</v>
      </c>
      <c r="E17" s="8" t="s">
        <v>69</v>
      </c>
      <c r="F17" s="25" t="s">
        <v>26</v>
      </c>
    </row>
    <row r="18" spans="1:6" x14ac:dyDescent="0.3">
      <c r="A18" s="24" t="s">
        <v>70</v>
      </c>
      <c r="B18" s="8" t="s">
        <v>71</v>
      </c>
      <c r="C18" s="7">
        <v>9876501217</v>
      </c>
      <c r="D18" s="8" t="s">
        <v>344</v>
      </c>
      <c r="E18" s="8" t="s">
        <v>25</v>
      </c>
      <c r="F18" s="25" t="s">
        <v>26</v>
      </c>
    </row>
    <row r="19" spans="1:6" x14ac:dyDescent="0.3">
      <c r="A19" s="24" t="s">
        <v>72</v>
      </c>
      <c r="B19" s="8" t="s">
        <v>73</v>
      </c>
      <c r="C19" s="7">
        <v>9876501218</v>
      </c>
      <c r="D19" s="8" t="s">
        <v>349</v>
      </c>
      <c r="E19" s="8" t="s">
        <v>74</v>
      </c>
      <c r="F19" s="25" t="s">
        <v>26</v>
      </c>
    </row>
    <row r="20" spans="1:6" x14ac:dyDescent="0.3">
      <c r="A20" s="24" t="s">
        <v>75</v>
      </c>
      <c r="B20" s="8" t="s">
        <v>76</v>
      </c>
      <c r="C20" s="7">
        <v>9876501219</v>
      </c>
      <c r="D20" s="8" t="s">
        <v>344</v>
      </c>
      <c r="E20" s="8" t="s">
        <v>77</v>
      </c>
      <c r="F20" s="25" t="s">
        <v>26</v>
      </c>
    </row>
    <row r="21" spans="1:6" x14ac:dyDescent="0.3">
      <c r="A21" s="24" t="s">
        <v>78</v>
      </c>
      <c r="B21" s="8" t="s">
        <v>79</v>
      </c>
      <c r="C21" s="7">
        <v>9876501220</v>
      </c>
      <c r="D21" s="8" t="s">
        <v>350</v>
      </c>
      <c r="E21" s="8" t="s">
        <v>80</v>
      </c>
      <c r="F21" s="25" t="s">
        <v>26</v>
      </c>
    </row>
    <row r="22" spans="1:6" x14ac:dyDescent="0.3">
      <c r="A22" s="24" t="s">
        <v>81</v>
      </c>
      <c r="B22" s="8" t="s">
        <v>82</v>
      </c>
      <c r="C22" s="7">
        <v>9876501221</v>
      </c>
      <c r="D22" s="8" t="s">
        <v>344</v>
      </c>
      <c r="E22" s="8" t="s">
        <v>25</v>
      </c>
      <c r="F22" s="25" t="s">
        <v>26</v>
      </c>
    </row>
    <row r="23" spans="1:6" x14ac:dyDescent="0.3">
      <c r="A23" s="24" t="s">
        <v>83</v>
      </c>
      <c r="B23" s="8" t="s">
        <v>84</v>
      </c>
      <c r="C23" s="7">
        <v>9876501222</v>
      </c>
      <c r="D23" s="8" t="s">
        <v>344</v>
      </c>
      <c r="E23" s="8" t="s">
        <v>85</v>
      </c>
      <c r="F23" s="25" t="s">
        <v>26</v>
      </c>
    </row>
    <row r="24" spans="1:6" x14ac:dyDescent="0.3">
      <c r="A24" s="24" t="s">
        <v>86</v>
      </c>
      <c r="B24" s="8" t="s">
        <v>87</v>
      </c>
      <c r="C24" s="7">
        <v>9876501223</v>
      </c>
      <c r="D24" s="8" t="s">
        <v>350</v>
      </c>
      <c r="E24" s="8" t="s">
        <v>88</v>
      </c>
      <c r="F24" s="25" t="s">
        <v>26</v>
      </c>
    </row>
    <row r="25" spans="1:6" x14ac:dyDescent="0.3">
      <c r="A25" s="24" t="s">
        <v>89</v>
      </c>
      <c r="B25" s="8" t="s">
        <v>90</v>
      </c>
      <c r="C25" s="7">
        <v>9876501224</v>
      </c>
      <c r="D25" s="8" t="s">
        <v>349</v>
      </c>
      <c r="E25" s="8" t="s">
        <v>91</v>
      </c>
      <c r="F25" s="25" t="s">
        <v>26</v>
      </c>
    </row>
    <row r="26" spans="1:6" x14ac:dyDescent="0.3">
      <c r="A26" s="24" t="s">
        <v>92</v>
      </c>
      <c r="B26" s="8" t="s">
        <v>93</v>
      </c>
      <c r="C26" s="7">
        <v>9876501225</v>
      </c>
      <c r="D26" s="8" t="s">
        <v>349</v>
      </c>
      <c r="E26" s="8" t="s">
        <v>94</v>
      </c>
      <c r="F26" s="25" t="s">
        <v>26</v>
      </c>
    </row>
    <row r="27" spans="1:6" x14ac:dyDescent="0.3">
      <c r="A27" s="24" t="s">
        <v>95</v>
      </c>
      <c r="B27" s="8" t="s">
        <v>96</v>
      </c>
      <c r="C27" s="7">
        <v>9876501226</v>
      </c>
      <c r="D27" s="8" t="s">
        <v>344</v>
      </c>
      <c r="E27" s="8" t="s">
        <v>97</v>
      </c>
      <c r="F27" s="25" t="s">
        <v>26</v>
      </c>
    </row>
    <row r="28" spans="1:6" x14ac:dyDescent="0.3">
      <c r="A28" s="24" t="s">
        <v>98</v>
      </c>
      <c r="B28" s="8" t="s">
        <v>99</v>
      </c>
      <c r="C28" s="7">
        <v>9876501227</v>
      </c>
      <c r="D28" s="8" t="s">
        <v>340</v>
      </c>
      <c r="E28" s="8" t="s">
        <v>100</v>
      </c>
      <c r="F28" s="25" t="s">
        <v>26</v>
      </c>
    </row>
    <row r="29" spans="1:6" x14ac:dyDescent="0.3">
      <c r="A29" s="24" t="s">
        <v>101</v>
      </c>
      <c r="B29" s="8" t="s">
        <v>102</v>
      </c>
      <c r="C29" s="7">
        <v>9876501228</v>
      </c>
      <c r="D29" s="8" t="s">
        <v>343</v>
      </c>
      <c r="E29" s="8" t="s">
        <v>103</v>
      </c>
      <c r="F29" s="25" t="s">
        <v>26</v>
      </c>
    </row>
    <row r="30" spans="1:6" x14ac:dyDescent="0.3">
      <c r="A30" s="24" t="s">
        <v>104</v>
      </c>
      <c r="B30" s="8" t="s">
        <v>105</v>
      </c>
      <c r="C30" s="7">
        <v>9876501229</v>
      </c>
      <c r="D30" s="8" t="s">
        <v>344</v>
      </c>
      <c r="E30" s="8" t="s">
        <v>106</v>
      </c>
      <c r="F30" s="25" t="s">
        <v>26</v>
      </c>
    </row>
    <row r="31" spans="1:6" x14ac:dyDescent="0.3">
      <c r="A31" s="24" t="s">
        <v>107</v>
      </c>
      <c r="B31" s="8" t="s">
        <v>108</v>
      </c>
      <c r="C31" s="7">
        <v>9876501230</v>
      </c>
      <c r="D31" s="8" t="s">
        <v>344</v>
      </c>
      <c r="E31" s="8" t="s">
        <v>109</v>
      </c>
      <c r="F31" s="25" t="s">
        <v>26</v>
      </c>
    </row>
    <row r="32" spans="1:6" x14ac:dyDescent="0.3">
      <c r="A32" s="24" t="s">
        <v>110</v>
      </c>
      <c r="B32" s="8" t="s">
        <v>111</v>
      </c>
      <c r="C32" s="7">
        <v>9876501231</v>
      </c>
      <c r="D32" s="8" t="s">
        <v>346</v>
      </c>
      <c r="E32" s="8" t="s">
        <v>112</v>
      </c>
      <c r="F32" s="25" t="s">
        <v>26</v>
      </c>
    </row>
    <row r="33" spans="1:6" x14ac:dyDescent="0.3">
      <c r="A33" s="24" t="s">
        <v>113</v>
      </c>
      <c r="B33" s="8" t="s">
        <v>114</v>
      </c>
      <c r="C33" s="7">
        <v>9876501232</v>
      </c>
      <c r="D33" s="8" t="s">
        <v>347</v>
      </c>
      <c r="E33" s="8" t="s">
        <v>115</v>
      </c>
      <c r="F33" s="25" t="s">
        <v>26</v>
      </c>
    </row>
    <row r="34" spans="1:6" x14ac:dyDescent="0.3">
      <c r="A34" s="24" t="s">
        <v>116</v>
      </c>
      <c r="B34" s="8" t="s">
        <v>117</v>
      </c>
      <c r="C34" s="7">
        <v>9876501233</v>
      </c>
      <c r="D34" s="8" t="s">
        <v>349</v>
      </c>
      <c r="E34" s="8" t="s">
        <v>118</v>
      </c>
      <c r="F34" s="25" t="s">
        <v>26</v>
      </c>
    </row>
    <row r="35" spans="1:6" x14ac:dyDescent="0.3">
      <c r="A35" s="24" t="s">
        <v>119</v>
      </c>
      <c r="B35" s="8" t="s">
        <v>120</v>
      </c>
      <c r="C35" s="7">
        <v>9876501234</v>
      </c>
      <c r="D35" s="8" t="s">
        <v>342</v>
      </c>
      <c r="E35" s="8" t="s">
        <v>121</v>
      </c>
      <c r="F35" s="25" t="s">
        <v>26</v>
      </c>
    </row>
    <row r="36" spans="1:6" x14ac:dyDescent="0.3">
      <c r="A36" s="24" t="s">
        <v>122</v>
      </c>
      <c r="B36" s="8" t="s">
        <v>123</v>
      </c>
      <c r="C36" s="7">
        <v>9876501235</v>
      </c>
      <c r="D36" s="8" t="s">
        <v>340</v>
      </c>
      <c r="E36" s="8" t="s">
        <v>124</v>
      </c>
      <c r="F36" s="25" t="s">
        <v>311</v>
      </c>
    </row>
    <row r="37" spans="1:6" x14ac:dyDescent="0.3">
      <c r="A37" s="24" t="s">
        <v>125</v>
      </c>
      <c r="B37" s="8" t="s">
        <v>126</v>
      </c>
      <c r="C37" s="7">
        <v>9876501236</v>
      </c>
      <c r="D37" s="8" t="s">
        <v>347</v>
      </c>
      <c r="E37" s="8" t="s">
        <v>25</v>
      </c>
      <c r="F37" s="25" t="s">
        <v>311</v>
      </c>
    </row>
    <row r="38" spans="1:6" x14ac:dyDescent="0.3">
      <c r="A38" s="24" t="s">
        <v>127</v>
      </c>
      <c r="B38" s="8" t="s">
        <v>128</v>
      </c>
      <c r="C38" s="7">
        <v>9876501237</v>
      </c>
      <c r="D38" s="8" t="s">
        <v>342</v>
      </c>
      <c r="E38" s="8" t="s">
        <v>25</v>
      </c>
      <c r="F38" s="25" t="s">
        <v>311</v>
      </c>
    </row>
    <row r="39" spans="1:6" x14ac:dyDescent="0.3">
      <c r="A39" s="24" t="s">
        <v>129</v>
      </c>
      <c r="B39" s="8" t="s">
        <v>130</v>
      </c>
      <c r="C39" s="7">
        <v>9876501238</v>
      </c>
      <c r="D39" s="8" t="s">
        <v>343</v>
      </c>
      <c r="E39" s="8" t="s">
        <v>334</v>
      </c>
      <c r="F39" s="25" t="s">
        <v>311</v>
      </c>
    </row>
    <row r="40" spans="1:6" x14ac:dyDescent="0.3">
      <c r="A40" s="24" t="s">
        <v>132</v>
      </c>
      <c r="B40" s="8" t="s">
        <v>133</v>
      </c>
      <c r="C40" s="7">
        <v>9876501239</v>
      </c>
      <c r="D40" s="8" t="s">
        <v>344</v>
      </c>
      <c r="E40" s="8" t="s">
        <v>39</v>
      </c>
      <c r="F40" s="25" t="s">
        <v>311</v>
      </c>
    </row>
    <row r="41" spans="1:6" x14ac:dyDescent="0.3">
      <c r="A41" s="24" t="s">
        <v>134</v>
      </c>
      <c r="B41" s="8" t="s">
        <v>135</v>
      </c>
      <c r="C41" s="7">
        <v>9876501240</v>
      </c>
      <c r="D41" s="8" t="s">
        <v>340</v>
      </c>
      <c r="E41" s="8" t="s">
        <v>25</v>
      </c>
      <c r="F41" s="25" t="s">
        <v>311</v>
      </c>
    </row>
    <row r="42" spans="1:6" x14ac:dyDescent="0.3">
      <c r="A42" s="24" t="s">
        <v>136</v>
      </c>
      <c r="B42" s="8" t="s">
        <v>137</v>
      </c>
      <c r="C42" s="7">
        <v>9876501241</v>
      </c>
      <c r="D42" s="8" t="s">
        <v>342</v>
      </c>
      <c r="E42" s="8" t="s">
        <v>25</v>
      </c>
      <c r="F42" s="25" t="s">
        <v>311</v>
      </c>
    </row>
    <row r="43" spans="1:6" x14ac:dyDescent="0.3">
      <c r="A43" s="24" t="s">
        <v>138</v>
      </c>
      <c r="B43" s="8" t="s">
        <v>139</v>
      </c>
      <c r="C43" s="7">
        <v>9876501242</v>
      </c>
      <c r="D43" s="8" t="s">
        <v>343</v>
      </c>
      <c r="E43" s="8" t="s">
        <v>334</v>
      </c>
      <c r="F43" s="25" t="s">
        <v>311</v>
      </c>
    </row>
    <row r="44" spans="1:6" x14ac:dyDescent="0.3">
      <c r="A44" s="24" t="s">
        <v>140</v>
      </c>
      <c r="B44" s="8" t="s">
        <v>141</v>
      </c>
      <c r="C44" s="7">
        <v>9876501243</v>
      </c>
      <c r="D44" s="8" t="s">
        <v>348</v>
      </c>
      <c r="E44" s="8" t="s">
        <v>39</v>
      </c>
      <c r="F44" s="25" t="s">
        <v>311</v>
      </c>
    </row>
    <row r="45" spans="1:6" x14ac:dyDescent="0.3">
      <c r="A45" s="24" t="s">
        <v>142</v>
      </c>
      <c r="B45" s="8" t="s">
        <v>143</v>
      </c>
      <c r="C45" s="7">
        <v>9876501244</v>
      </c>
      <c r="D45" s="8" t="s">
        <v>347</v>
      </c>
      <c r="E45" s="8" t="s">
        <v>25</v>
      </c>
      <c r="F45" s="25" t="s">
        <v>311</v>
      </c>
    </row>
    <row r="46" spans="1:6" x14ac:dyDescent="0.3">
      <c r="A46" s="24" t="s">
        <v>144</v>
      </c>
      <c r="B46" s="8" t="s">
        <v>145</v>
      </c>
      <c r="C46" s="7">
        <v>9876501245</v>
      </c>
      <c r="D46" s="8" t="s">
        <v>343</v>
      </c>
      <c r="E46" s="8" t="s">
        <v>25</v>
      </c>
      <c r="F46" s="25" t="s">
        <v>311</v>
      </c>
    </row>
    <row r="47" spans="1:6" x14ac:dyDescent="0.3">
      <c r="A47" s="24" t="s">
        <v>146</v>
      </c>
      <c r="B47" s="8" t="s">
        <v>147</v>
      </c>
      <c r="C47" s="7">
        <v>9876501246</v>
      </c>
      <c r="D47" s="8" t="s">
        <v>344</v>
      </c>
      <c r="E47" s="8" t="s">
        <v>334</v>
      </c>
      <c r="F47" s="25" t="s">
        <v>311</v>
      </c>
    </row>
    <row r="48" spans="1:6" x14ac:dyDescent="0.3">
      <c r="A48" s="24" t="s">
        <v>148</v>
      </c>
      <c r="B48" s="8" t="s">
        <v>149</v>
      </c>
      <c r="C48" s="7">
        <v>9876501247</v>
      </c>
      <c r="D48" s="8" t="s">
        <v>347</v>
      </c>
      <c r="E48" s="8" t="s">
        <v>39</v>
      </c>
      <c r="F48" s="25" t="s">
        <v>311</v>
      </c>
    </row>
    <row r="49" spans="1:6" x14ac:dyDescent="0.3">
      <c r="A49" s="24" t="s">
        <v>150</v>
      </c>
      <c r="B49" s="8" t="s">
        <v>151</v>
      </c>
      <c r="C49" s="7">
        <v>9876501248</v>
      </c>
      <c r="D49" s="8" t="s">
        <v>343</v>
      </c>
      <c r="E49" s="8" t="s">
        <v>25</v>
      </c>
      <c r="F49" s="25" t="s">
        <v>311</v>
      </c>
    </row>
    <row r="50" spans="1:6" x14ac:dyDescent="0.3">
      <c r="A50" s="24" t="s">
        <v>152</v>
      </c>
      <c r="B50" s="8" t="s">
        <v>153</v>
      </c>
      <c r="C50" s="7">
        <v>9876501249</v>
      </c>
      <c r="D50" s="8" t="s">
        <v>341</v>
      </c>
      <c r="E50" s="8" t="s">
        <v>25</v>
      </c>
      <c r="F50" s="25" t="s">
        <v>311</v>
      </c>
    </row>
    <row r="51" spans="1:6" x14ac:dyDescent="0.3">
      <c r="A51" s="24" t="s">
        <v>154</v>
      </c>
      <c r="B51" s="8" t="s">
        <v>155</v>
      </c>
      <c r="C51" s="7">
        <v>9876501250</v>
      </c>
      <c r="D51" s="8" t="s">
        <v>340</v>
      </c>
      <c r="E51" s="8" t="s">
        <v>334</v>
      </c>
      <c r="F51" s="25" t="s">
        <v>311</v>
      </c>
    </row>
    <row r="52" spans="1:6" x14ac:dyDescent="0.3">
      <c r="A52" s="24" t="s">
        <v>156</v>
      </c>
      <c r="B52" s="8" t="s">
        <v>157</v>
      </c>
      <c r="C52" s="7">
        <v>9876501251</v>
      </c>
      <c r="D52" s="8" t="s">
        <v>340</v>
      </c>
      <c r="E52" s="8" t="s">
        <v>39</v>
      </c>
      <c r="F52" s="25" t="s">
        <v>311</v>
      </c>
    </row>
    <row r="53" spans="1:6" x14ac:dyDescent="0.3">
      <c r="A53" s="24" t="s">
        <v>158</v>
      </c>
      <c r="B53" s="8" t="s">
        <v>159</v>
      </c>
      <c r="C53" s="7">
        <v>9876501252</v>
      </c>
      <c r="D53" s="8" t="s">
        <v>341</v>
      </c>
      <c r="E53" s="8" t="s">
        <v>25</v>
      </c>
      <c r="F53" s="25" t="s">
        <v>311</v>
      </c>
    </row>
    <row r="54" spans="1:6" x14ac:dyDescent="0.3">
      <c r="A54" s="24" t="s">
        <v>160</v>
      </c>
      <c r="B54" s="8" t="s">
        <v>161</v>
      </c>
      <c r="C54" s="7">
        <v>9876501253</v>
      </c>
      <c r="D54" s="8" t="s">
        <v>347</v>
      </c>
      <c r="E54" s="8" t="s">
        <v>25</v>
      </c>
      <c r="F54" s="25" t="s">
        <v>311</v>
      </c>
    </row>
    <row r="55" spans="1:6" x14ac:dyDescent="0.3">
      <c r="A55" s="24" t="s">
        <v>162</v>
      </c>
      <c r="B55" s="8" t="s">
        <v>163</v>
      </c>
      <c r="C55" s="7">
        <v>9876501254</v>
      </c>
      <c r="D55" s="8" t="s">
        <v>346</v>
      </c>
      <c r="E55" s="8" t="s">
        <v>334</v>
      </c>
      <c r="F55" s="25" t="s">
        <v>311</v>
      </c>
    </row>
    <row r="56" spans="1:6" x14ac:dyDescent="0.3">
      <c r="A56" s="24" t="s">
        <v>164</v>
      </c>
      <c r="B56" s="8" t="s">
        <v>165</v>
      </c>
      <c r="C56" s="7">
        <v>9876501255</v>
      </c>
      <c r="D56" s="8" t="s">
        <v>343</v>
      </c>
      <c r="E56" s="8" t="s">
        <v>39</v>
      </c>
      <c r="F56" s="25" t="s">
        <v>311</v>
      </c>
    </row>
    <row r="57" spans="1:6" x14ac:dyDescent="0.3">
      <c r="A57" s="24" t="s">
        <v>166</v>
      </c>
      <c r="B57" s="8" t="s">
        <v>167</v>
      </c>
      <c r="C57" s="7">
        <v>9876501256</v>
      </c>
      <c r="D57" s="8" t="s">
        <v>346</v>
      </c>
      <c r="E57" s="8" t="s">
        <v>25</v>
      </c>
      <c r="F57" s="25" t="s">
        <v>311</v>
      </c>
    </row>
    <row r="58" spans="1:6" x14ac:dyDescent="0.3">
      <c r="A58" s="24" t="s">
        <v>168</v>
      </c>
      <c r="B58" s="8" t="s">
        <v>169</v>
      </c>
      <c r="C58" s="7">
        <v>9876501257</v>
      </c>
      <c r="D58" s="8" t="s">
        <v>349</v>
      </c>
      <c r="E58" s="8" t="s">
        <v>25</v>
      </c>
      <c r="F58" s="25" t="s">
        <v>311</v>
      </c>
    </row>
    <row r="59" spans="1:6" x14ac:dyDescent="0.3">
      <c r="A59" s="24" t="s">
        <v>170</v>
      </c>
      <c r="B59" s="8" t="s">
        <v>171</v>
      </c>
      <c r="C59" s="7">
        <v>9876501258</v>
      </c>
      <c r="D59" s="8" t="s">
        <v>346</v>
      </c>
      <c r="E59" s="8" t="s">
        <v>334</v>
      </c>
      <c r="F59" s="25" t="s">
        <v>311</v>
      </c>
    </row>
    <row r="60" spans="1:6" x14ac:dyDescent="0.3">
      <c r="A60" s="24" t="s">
        <v>172</v>
      </c>
      <c r="B60" s="8" t="s">
        <v>173</v>
      </c>
      <c r="C60" s="7">
        <v>9876501259</v>
      </c>
      <c r="D60" s="8" t="s">
        <v>340</v>
      </c>
      <c r="E60" s="8" t="s">
        <v>39</v>
      </c>
      <c r="F60" s="25" t="s">
        <v>311</v>
      </c>
    </row>
    <row r="61" spans="1:6" x14ac:dyDescent="0.3">
      <c r="A61" s="24" t="s">
        <v>174</v>
      </c>
      <c r="B61" s="8" t="s">
        <v>175</v>
      </c>
      <c r="C61" s="7">
        <v>9876501260</v>
      </c>
      <c r="D61" s="8" t="s">
        <v>344</v>
      </c>
      <c r="E61" s="8" t="s">
        <v>25</v>
      </c>
      <c r="F61" s="25" t="s">
        <v>311</v>
      </c>
    </row>
    <row r="62" spans="1:6" x14ac:dyDescent="0.3">
      <c r="A62" s="24" t="s">
        <v>176</v>
      </c>
      <c r="B62" s="8" t="s">
        <v>177</v>
      </c>
      <c r="C62" s="7">
        <v>9876501261</v>
      </c>
      <c r="D62" s="8" t="s">
        <v>347</v>
      </c>
      <c r="E62" s="8" t="s">
        <v>25</v>
      </c>
      <c r="F62" s="25" t="s">
        <v>311</v>
      </c>
    </row>
    <row r="63" spans="1:6" x14ac:dyDescent="0.3">
      <c r="A63" s="24" t="s">
        <v>178</v>
      </c>
      <c r="B63" s="8" t="s">
        <v>179</v>
      </c>
      <c r="C63" s="7">
        <v>9876501262</v>
      </c>
      <c r="D63" s="8" t="s">
        <v>341</v>
      </c>
      <c r="E63" s="8" t="s">
        <v>334</v>
      </c>
      <c r="F63" s="25" t="s">
        <v>311</v>
      </c>
    </row>
    <row r="64" spans="1:6" x14ac:dyDescent="0.3">
      <c r="A64" s="24" t="s">
        <v>180</v>
      </c>
      <c r="B64" s="8" t="s">
        <v>181</v>
      </c>
      <c r="C64" s="7">
        <v>9876501263</v>
      </c>
      <c r="D64" s="8" t="s">
        <v>343</v>
      </c>
      <c r="E64" s="8" t="s">
        <v>39</v>
      </c>
      <c r="F64" s="25" t="s">
        <v>311</v>
      </c>
    </row>
    <row r="65" spans="1:6" x14ac:dyDescent="0.3">
      <c r="A65" s="24" t="s">
        <v>182</v>
      </c>
      <c r="B65" s="8" t="s">
        <v>183</v>
      </c>
      <c r="C65" s="7">
        <v>9876501264</v>
      </c>
      <c r="D65" s="8" t="s">
        <v>344</v>
      </c>
      <c r="E65" s="8" t="s">
        <v>25</v>
      </c>
      <c r="F65" s="25" t="s">
        <v>311</v>
      </c>
    </row>
    <row r="66" spans="1:6" x14ac:dyDescent="0.3">
      <c r="A66" s="24" t="s">
        <v>184</v>
      </c>
      <c r="B66" s="8" t="s">
        <v>185</v>
      </c>
      <c r="C66" s="7">
        <v>9876501265</v>
      </c>
      <c r="D66" s="8" t="s">
        <v>343</v>
      </c>
      <c r="E66" s="8" t="s">
        <v>25</v>
      </c>
      <c r="F66" s="25" t="s">
        <v>311</v>
      </c>
    </row>
    <row r="67" spans="1:6" x14ac:dyDescent="0.3">
      <c r="A67" s="24" t="s">
        <v>186</v>
      </c>
      <c r="B67" s="8" t="s">
        <v>187</v>
      </c>
      <c r="C67" s="7">
        <v>9876501266</v>
      </c>
      <c r="D67" s="8" t="s">
        <v>342</v>
      </c>
      <c r="E67" s="8" t="s">
        <v>334</v>
      </c>
      <c r="F67" s="25" t="s">
        <v>311</v>
      </c>
    </row>
    <row r="68" spans="1:6" x14ac:dyDescent="0.3">
      <c r="A68" s="24" t="s">
        <v>188</v>
      </c>
      <c r="B68" s="8" t="s">
        <v>189</v>
      </c>
      <c r="C68" s="7">
        <v>9876501267</v>
      </c>
      <c r="D68" s="8" t="s">
        <v>343</v>
      </c>
      <c r="E68" s="8" t="s">
        <v>39</v>
      </c>
      <c r="F68" s="25" t="s">
        <v>311</v>
      </c>
    </row>
    <row r="69" spans="1:6" x14ac:dyDescent="0.3">
      <c r="A69" s="24" t="s">
        <v>190</v>
      </c>
      <c r="B69" s="8" t="s">
        <v>191</v>
      </c>
      <c r="C69" s="7">
        <v>9876501268</v>
      </c>
      <c r="D69" s="8" t="s">
        <v>344</v>
      </c>
      <c r="E69" s="8" t="s">
        <v>25</v>
      </c>
      <c r="F69" s="25" t="s">
        <v>311</v>
      </c>
    </row>
    <row r="70" spans="1:6" x14ac:dyDescent="0.3">
      <c r="A70" s="24" t="s">
        <v>192</v>
      </c>
      <c r="B70" s="8" t="s">
        <v>193</v>
      </c>
      <c r="C70" s="7">
        <v>9876501269</v>
      </c>
      <c r="D70" s="8" t="s">
        <v>346</v>
      </c>
      <c r="E70" s="8" t="s">
        <v>25</v>
      </c>
      <c r="F70" s="25" t="s">
        <v>311</v>
      </c>
    </row>
    <row r="71" spans="1:6" x14ac:dyDescent="0.3">
      <c r="A71" s="24" t="s">
        <v>194</v>
      </c>
      <c r="B71" s="8" t="s">
        <v>195</v>
      </c>
      <c r="C71" s="7">
        <v>9876501270</v>
      </c>
      <c r="D71" s="8" t="s">
        <v>346</v>
      </c>
      <c r="E71" s="8" t="s">
        <v>39</v>
      </c>
      <c r="F71" s="25" t="s">
        <v>311</v>
      </c>
    </row>
    <row r="72" spans="1:6" x14ac:dyDescent="0.3">
      <c r="A72" s="24" t="s">
        <v>196</v>
      </c>
      <c r="B72" s="8" t="s">
        <v>197</v>
      </c>
      <c r="C72" s="7">
        <v>9876501271</v>
      </c>
      <c r="D72" s="8" t="s">
        <v>341</v>
      </c>
      <c r="E72" s="8" t="s">
        <v>39</v>
      </c>
      <c r="F72" s="25" t="s">
        <v>311</v>
      </c>
    </row>
    <row r="73" spans="1:6" x14ac:dyDescent="0.3">
      <c r="A73" s="24" t="s">
        <v>198</v>
      </c>
      <c r="B73" s="8" t="s">
        <v>199</v>
      </c>
      <c r="C73" s="7">
        <v>9876501272</v>
      </c>
      <c r="D73" s="8" t="s">
        <v>343</v>
      </c>
      <c r="E73" s="8" t="s">
        <v>25</v>
      </c>
      <c r="F73" s="25" t="s">
        <v>311</v>
      </c>
    </row>
    <row r="74" spans="1:6" x14ac:dyDescent="0.3">
      <c r="A74" s="24" t="s">
        <v>200</v>
      </c>
      <c r="B74" s="8" t="s">
        <v>201</v>
      </c>
      <c r="C74" s="7">
        <v>9876501273</v>
      </c>
      <c r="D74" s="8" t="s">
        <v>344</v>
      </c>
      <c r="E74" s="8" t="s">
        <v>25</v>
      </c>
      <c r="F74" s="25" t="s">
        <v>311</v>
      </c>
    </row>
    <row r="75" spans="1:6" x14ac:dyDescent="0.3">
      <c r="A75" s="24" t="s">
        <v>202</v>
      </c>
      <c r="B75" s="8" t="s">
        <v>203</v>
      </c>
      <c r="C75" s="7">
        <v>9876501274</v>
      </c>
      <c r="D75" s="8" t="s">
        <v>349</v>
      </c>
      <c r="E75" s="8" t="s">
        <v>334</v>
      </c>
      <c r="F75" s="25" t="s">
        <v>311</v>
      </c>
    </row>
    <row r="76" spans="1:6" x14ac:dyDescent="0.3">
      <c r="A76" s="24" t="s">
        <v>204</v>
      </c>
      <c r="B76" s="8" t="s">
        <v>205</v>
      </c>
      <c r="C76" s="7">
        <v>9876501275</v>
      </c>
      <c r="D76" s="8" t="s">
        <v>343</v>
      </c>
      <c r="E76" s="8" t="s">
        <v>39</v>
      </c>
      <c r="F76" s="25" t="s">
        <v>311</v>
      </c>
    </row>
    <row r="77" spans="1:6" x14ac:dyDescent="0.3">
      <c r="A77" s="24" t="s">
        <v>206</v>
      </c>
      <c r="B77" s="8" t="s">
        <v>207</v>
      </c>
      <c r="C77" s="7">
        <v>9876501276</v>
      </c>
      <c r="D77" s="8" t="s">
        <v>347</v>
      </c>
      <c r="E77" s="8" t="s">
        <v>25</v>
      </c>
      <c r="F77" s="25" t="s">
        <v>311</v>
      </c>
    </row>
    <row r="78" spans="1:6" x14ac:dyDescent="0.3">
      <c r="A78" s="24" t="s">
        <v>208</v>
      </c>
      <c r="B78" s="8" t="s">
        <v>209</v>
      </c>
      <c r="C78" s="7">
        <v>9834512701</v>
      </c>
      <c r="D78" s="8" t="s">
        <v>350</v>
      </c>
      <c r="E78" s="8" t="s">
        <v>210</v>
      </c>
      <c r="F78" s="25" t="s">
        <v>311</v>
      </c>
    </row>
    <row r="79" spans="1:6" x14ac:dyDescent="0.3">
      <c r="A79" s="24" t="s">
        <v>211</v>
      </c>
      <c r="B79" s="8" t="s">
        <v>212</v>
      </c>
      <c r="C79" s="7">
        <v>9834512702</v>
      </c>
      <c r="D79" s="8" t="s">
        <v>348</v>
      </c>
      <c r="E79" s="8" t="s">
        <v>213</v>
      </c>
      <c r="F79" s="25" t="s">
        <v>311</v>
      </c>
    </row>
    <row r="80" spans="1:6" x14ac:dyDescent="0.3">
      <c r="A80" s="24" t="s">
        <v>214</v>
      </c>
      <c r="B80" s="8" t="s">
        <v>215</v>
      </c>
      <c r="C80" s="7">
        <v>9834512703</v>
      </c>
      <c r="D80" s="8" t="s">
        <v>348</v>
      </c>
      <c r="E80" s="8" t="s">
        <v>216</v>
      </c>
      <c r="F80" s="25" t="s">
        <v>311</v>
      </c>
    </row>
    <row r="81" spans="1:6" x14ac:dyDescent="0.3">
      <c r="A81" s="24" t="s">
        <v>217</v>
      </c>
      <c r="B81" s="8" t="s">
        <v>218</v>
      </c>
      <c r="C81" s="7">
        <v>9834512704</v>
      </c>
      <c r="D81" s="8" t="s">
        <v>349</v>
      </c>
      <c r="E81" s="8" t="s">
        <v>219</v>
      </c>
      <c r="F81" s="25" t="s">
        <v>311</v>
      </c>
    </row>
    <row r="82" spans="1:6" x14ac:dyDescent="0.3">
      <c r="A82" s="24" t="s">
        <v>220</v>
      </c>
      <c r="B82" s="8" t="s">
        <v>221</v>
      </c>
      <c r="C82" s="7">
        <v>9834512705</v>
      </c>
      <c r="D82" s="8" t="s">
        <v>344</v>
      </c>
      <c r="E82" s="8" t="s">
        <v>222</v>
      </c>
      <c r="F82" s="25" t="s">
        <v>311</v>
      </c>
    </row>
    <row r="83" spans="1:6" x14ac:dyDescent="0.3">
      <c r="A83" s="24" t="s">
        <v>223</v>
      </c>
      <c r="B83" s="8" t="s">
        <v>224</v>
      </c>
      <c r="C83" s="7">
        <v>9834512706</v>
      </c>
      <c r="D83" s="8" t="s">
        <v>343</v>
      </c>
      <c r="E83" s="8" t="s">
        <v>225</v>
      </c>
      <c r="F83" s="25" t="s">
        <v>311</v>
      </c>
    </row>
    <row r="84" spans="1:6" x14ac:dyDescent="0.3">
      <c r="A84" s="24" t="s">
        <v>226</v>
      </c>
      <c r="B84" s="8" t="s">
        <v>227</v>
      </c>
      <c r="C84" s="7">
        <v>9834512707</v>
      </c>
      <c r="D84" s="8" t="s">
        <v>340</v>
      </c>
      <c r="E84" s="8" t="s">
        <v>228</v>
      </c>
      <c r="F84" s="25" t="s">
        <v>311</v>
      </c>
    </row>
    <row r="85" spans="1:6" x14ac:dyDescent="0.3">
      <c r="A85" s="24" t="s">
        <v>229</v>
      </c>
      <c r="B85" s="8" t="s">
        <v>230</v>
      </c>
      <c r="C85" s="7">
        <v>9834512708</v>
      </c>
      <c r="D85" s="8" t="s">
        <v>340</v>
      </c>
      <c r="E85" s="8" t="s">
        <v>231</v>
      </c>
      <c r="F85" s="25" t="s">
        <v>311</v>
      </c>
    </row>
    <row r="86" spans="1:6" x14ac:dyDescent="0.3">
      <c r="A86" s="24" t="s">
        <v>232</v>
      </c>
      <c r="B86" s="8" t="s">
        <v>233</v>
      </c>
      <c r="C86" s="7">
        <v>9834512709</v>
      </c>
      <c r="D86" s="8" t="s">
        <v>347</v>
      </c>
      <c r="E86" s="8" t="s">
        <v>234</v>
      </c>
      <c r="F86" s="25" t="s">
        <v>311</v>
      </c>
    </row>
    <row r="87" spans="1:6" x14ac:dyDescent="0.3">
      <c r="A87" s="24" t="s">
        <v>235</v>
      </c>
      <c r="B87" s="8" t="s">
        <v>236</v>
      </c>
      <c r="C87" s="7">
        <v>9834512710</v>
      </c>
      <c r="D87" s="8" t="s">
        <v>348</v>
      </c>
      <c r="E87" s="8" t="s">
        <v>237</v>
      </c>
      <c r="F87" s="25" t="s">
        <v>311</v>
      </c>
    </row>
    <row r="88" spans="1:6" x14ac:dyDescent="0.3">
      <c r="A88" s="24" t="s">
        <v>238</v>
      </c>
      <c r="B88" s="8" t="s">
        <v>239</v>
      </c>
      <c r="C88" s="7">
        <v>9834512711</v>
      </c>
      <c r="D88" s="8" t="s">
        <v>340</v>
      </c>
      <c r="E88" s="8" t="s">
        <v>240</v>
      </c>
      <c r="F88" s="25" t="s">
        <v>311</v>
      </c>
    </row>
    <row r="89" spans="1:6" x14ac:dyDescent="0.3">
      <c r="A89" s="24" t="s">
        <v>241</v>
      </c>
      <c r="B89" s="8" t="s">
        <v>242</v>
      </c>
      <c r="C89" s="7">
        <v>9834512712</v>
      </c>
      <c r="D89" s="8" t="s">
        <v>341</v>
      </c>
      <c r="E89" s="8" t="s">
        <v>243</v>
      </c>
      <c r="F89" s="25" t="s">
        <v>311</v>
      </c>
    </row>
    <row r="90" spans="1:6" x14ac:dyDescent="0.3">
      <c r="A90" s="24" t="s">
        <v>244</v>
      </c>
      <c r="B90" s="8" t="s">
        <v>245</v>
      </c>
      <c r="C90" s="7">
        <v>9834512713</v>
      </c>
      <c r="D90" s="8" t="s">
        <v>342</v>
      </c>
      <c r="E90" s="8" t="s">
        <v>246</v>
      </c>
      <c r="F90" s="25" t="s">
        <v>311</v>
      </c>
    </row>
    <row r="91" spans="1:6" x14ac:dyDescent="0.3">
      <c r="A91" s="24" t="s">
        <v>247</v>
      </c>
      <c r="B91" s="8" t="s">
        <v>248</v>
      </c>
      <c r="C91" s="7">
        <v>9834512714</v>
      </c>
      <c r="D91" s="8" t="s">
        <v>343</v>
      </c>
      <c r="E91" s="8" t="s">
        <v>249</v>
      </c>
      <c r="F91" s="25" t="s">
        <v>311</v>
      </c>
    </row>
    <row r="92" spans="1:6" x14ac:dyDescent="0.3">
      <c r="A92" s="24" t="s">
        <v>250</v>
      </c>
      <c r="B92" s="8" t="s">
        <v>251</v>
      </c>
      <c r="C92" s="7">
        <v>9834512715</v>
      </c>
      <c r="D92" s="8" t="s">
        <v>344</v>
      </c>
      <c r="E92" s="8" t="s">
        <v>252</v>
      </c>
      <c r="F92" s="25" t="s">
        <v>26</v>
      </c>
    </row>
    <row r="93" spans="1:6" x14ac:dyDescent="0.3">
      <c r="A93" s="24" t="s">
        <v>253</v>
      </c>
      <c r="B93" s="8" t="s">
        <v>254</v>
      </c>
      <c r="C93" s="7">
        <v>9834512716</v>
      </c>
      <c r="D93" s="8" t="s">
        <v>344</v>
      </c>
      <c r="E93" s="8" t="s">
        <v>255</v>
      </c>
      <c r="F93" s="25" t="s">
        <v>26</v>
      </c>
    </row>
    <row r="94" spans="1:6" x14ac:dyDescent="0.3">
      <c r="A94" s="24" t="s">
        <v>256</v>
      </c>
      <c r="B94" s="8" t="s">
        <v>257</v>
      </c>
      <c r="C94" s="7">
        <v>9834512717</v>
      </c>
      <c r="D94" s="8" t="s">
        <v>346</v>
      </c>
      <c r="E94" s="8" t="s">
        <v>258</v>
      </c>
      <c r="F94" s="25" t="s">
        <v>26</v>
      </c>
    </row>
    <row r="95" spans="1:6" x14ac:dyDescent="0.3">
      <c r="A95" s="24" t="s">
        <v>259</v>
      </c>
      <c r="B95" s="8" t="s">
        <v>260</v>
      </c>
      <c r="C95" s="7">
        <v>9834512718</v>
      </c>
      <c r="D95" s="8" t="s">
        <v>347</v>
      </c>
      <c r="E95" s="8" t="s">
        <v>261</v>
      </c>
      <c r="F95" s="25" t="s">
        <v>26</v>
      </c>
    </row>
    <row r="96" spans="1:6" x14ac:dyDescent="0.3">
      <c r="A96" s="24" t="s">
        <v>262</v>
      </c>
      <c r="B96" s="8" t="s">
        <v>263</v>
      </c>
      <c r="C96" s="7">
        <v>9834512719</v>
      </c>
      <c r="D96" s="8" t="s">
        <v>349</v>
      </c>
      <c r="E96" s="8" t="s">
        <v>264</v>
      </c>
      <c r="F96" s="25" t="s">
        <v>26</v>
      </c>
    </row>
    <row r="97" spans="1:6" x14ac:dyDescent="0.3">
      <c r="A97" s="24" t="s">
        <v>265</v>
      </c>
      <c r="B97" s="8" t="s">
        <v>266</v>
      </c>
      <c r="C97" s="7">
        <v>9834512720</v>
      </c>
      <c r="D97" s="8" t="s">
        <v>349</v>
      </c>
      <c r="E97" s="8" t="s">
        <v>267</v>
      </c>
      <c r="F97" s="25" t="s">
        <v>26</v>
      </c>
    </row>
    <row r="98" spans="1:6" x14ac:dyDescent="0.3">
      <c r="A98" s="24" t="s">
        <v>268</v>
      </c>
      <c r="B98" s="8" t="s">
        <v>269</v>
      </c>
      <c r="C98" s="7">
        <v>9834512721</v>
      </c>
      <c r="D98" s="8" t="s">
        <v>350</v>
      </c>
      <c r="E98" s="8" t="s">
        <v>270</v>
      </c>
      <c r="F98" s="25" t="s">
        <v>26</v>
      </c>
    </row>
    <row r="99" spans="1:6" x14ac:dyDescent="0.3">
      <c r="A99" s="24" t="s">
        <v>271</v>
      </c>
      <c r="B99" s="8" t="s">
        <v>272</v>
      </c>
      <c r="C99" s="7">
        <v>9834512722</v>
      </c>
      <c r="D99" s="8" t="s">
        <v>350</v>
      </c>
      <c r="E99" s="8" t="s">
        <v>273</v>
      </c>
      <c r="F99" s="25" t="s">
        <v>26</v>
      </c>
    </row>
    <row r="100" spans="1:6" x14ac:dyDescent="0.3">
      <c r="A100" s="24" t="s">
        <v>274</v>
      </c>
      <c r="B100" s="8" t="s">
        <v>275</v>
      </c>
      <c r="C100" s="7">
        <v>9834512723</v>
      </c>
      <c r="D100" s="8" t="s">
        <v>349</v>
      </c>
      <c r="E100" s="8" t="s">
        <v>276</v>
      </c>
      <c r="F100" s="25" t="s">
        <v>26</v>
      </c>
    </row>
    <row r="101" spans="1:6" x14ac:dyDescent="0.3">
      <c r="A101" s="24" t="s">
        <v>277</v>
      </c>
      <c r="B101" s="8" t="s">
        <v>278</v>
      </c>
      <c r="C101" s="7">
        <v>9834512724</v>
      </c>
      <c r="D101" s="8" t="s">
        <v>348</v>
      </c>
      <c r="E101" s="8" t="s">
        <v>279</v>
      </c>
      <c r="F101" s="25" t="s">
        <v>26</v>
      </c>
    </row>
    <row r="102" spans="1:6" x14ac:dyDescent="0.3">
      <c r="A102" s="24" t="s">
        <v>280</v>
      </c>
      <c r="B102" s="8" t="s">
        <v>281</v>
      </c>
      <c r="C102" s="7">
        <v>9834512725</v>
      </c>
      <c r="D102" s="8" t="s">
        <v>348</v>
      </c>
      <c r="E102" s="8" t="s">
        <v>282</v>
      </c>
      <c r="F102" s="25" t="s">
        <v>26</v>
      </c>
    </row>
    <row r="103" spans="1:6" x14ac:dyDescent="0.3">
      <c r="A103" s="24" t="s">
        <v>283</v>
      </c>
      <c r="B103" s="8" t="s">
        <v>284</v>
      </c>
      <c r="C103" s="7">
        <v>9834512726</v>
      </c>
      <c r="D103" s="8" t="s">
        <v>347</v>
      </c>
      <c r="E103" s="8" t="s">
        <v>131</v>
      </c>
      <c r="F103" s="25" t="s">
        <v>26</v>
      </c>
    </row>
    <row r="104" spans="1:6" x14ac:dyDescent="0.3">
      <c r="A104" s="24" t="s">
        <v>285</v>
      </c>
      <c r="B104" s="8" t="s">
        <v>286</v>
      </c>
      <c r="C104" s="7">
        <v>9834512727</v>
      </c>
      <c r="D104" s="8" t="s">
        <v>346</v>
      </c>
      <c r="E104" s="8" t="s">
        <v>287</v>
      </c>
      <c r="F104" s="25" t="s">
        <v>26</v>
      </c>
    </row>
    <row r="105" spans="1:6" x14ac:dyDescent="0.3">
      <c r="A105" s="24" t="s">
        <v>288</v>
      </c>
      <c r="B105" s="8" t="s">
        <v>289</v>
      </c>
      <c r="C105" s="7">
        <v>9834512728</v>
      </c>
      <c r="D105" s="8" t="s">
        <v>346</v>
      </c>
      <c r="E105" s="8" t="s">
        <v>290</v>
      </c>
      <c r="F105" s="25" t="s">
        <v>26</v>
      </c>
    </row>
    <row r="106" spans="1:6" x14ac:dyDescent="0.3">
      <c r="A106" s="24" t="s">
        <v>291</v>
      </c>
      <c r="B106" s="8" t="s">
        <v>292</v>
      </c>
      <c r="C106" s="7">
        <v>9834512729</v>
      </c>
      <c r="D106" s="8" t="s">
        <v>344</v>
      </c>
      <c r="E106" s="8" t="s">
        <v>293</v>
      </c>
      <c r="F106" s="25" t="s">
        <v>26</v>
      </c>
    </row>
    <row r="107" spans="1:6" x14ac:dyDescent="0.3">
      <c r="A107" s="24" t="s">
        <v>294</v>
      </c>
      <c r="B107" s="8" t="s">
        <v>295</v>
      </c>
      <c r="C107" s="7">
        <v>9834512730</v>
      </c>
      <c r="D107" s="8" t="s">
        <v>344</v>
      </c>
      <c r="E107" s="8" t="s">
        <v>296</v>
      </c>
      <c r="F107" s="25" t="s">
        <v>26</v>
      </c>
    </row>
    <row r="108" spans="1:6" x14ac:dyDescent="0.3">
      <c r="A108" s="24" t="s">
        <v>297</v>
      </c>
      <c r="B108" s="8" t="s">
        <v>298</v>
      </c>
      <c r="C108" s="7">
        <v>9834512731</v>
      </c>
      <c r="D108" s="8" t="s">
        <v>343</v>
      </c>
      <c r="E108" s="8" t="s">
        <v>299</v>
      </c>
      <c r="F108" s="25" t="s">
        <v>26</v>
      </c>
    </row>
    <row r="109" spans="1:6" x14ac:dyDescent="0.3">
      <c r="A109" s="24" t="s">
        <v>300</v>
      </c>
      <c r="B109" s="8" t="s">
        <v>301</v>
      </c>
      <c r="C109" s="7">
        <v>9834512732</v>
      </c>
      <c r="D109" s="8" t="s">
        <v>342</v>
      </c>
      <c r="E109" s="8" t="s">
        <v>302</v>
      </c>
      <c r="F109" s="25" t="s">
        <v>26</v>
      </c>
    </row>
    <row r="110" spans="1:6" x14ac:dyDescent="0.3">
      <c r="A110" s="24" t="s">
        <v>303</v>
      </c>
      <c r="B110" s="8" t="s">
        <v>304</v>
      </c>
      <c r="C110" s="7">
        <v>9834512733</v>
      </c>
      <c r="D110" s="8" t="s">
        <v>341</v>
      </c>
      <c r="E110" s="8" t="s">
        <v>305</v>
      </c>
      <c r="F110" s="25" t="s">
        <v>26</v>
      </c>
    </row>
    <row r="111" spans="1:6" x14ac:dyDescent="0.3">
      <c r="A111" s="24" t="s">
        <v>306</v>
      </c>
      <c r="B111" s="8" t="s">
        <v>307</v>
      </c>
      <c r="C111" s="7">
        <v>9834512734</v>
      </c>
      <c r="D111" s="8" t="s">
        <v>340</v>
      </c>
      <c r="E111" s="8" t="s">
        <v>308</v>
      </c>
      <c r="F111" s="25" t="s">
        <v>26</v>
      </c>
    </row>
    <row r="112" spans="1:6" x14ac:dyDescent="0.3">
      <c r="A112" s="24" t="s">
        <v>309</v>
      </c>
      <c r="B112" s="8" t="s">
        <v>310</v>
      </c>
      <c r="C112" s="7">
        <v>9834512735</v>
      </c>
      <c r="D112" s="8" t="s">
        <v>342</v>
      </c>
      <c r="E112" s="8" t="s">
        <v>335</v>
      </c>
      <c r="F112" s="25" t="s">
        <v>26</v>
      </c>
    </row>
    <row r="113" spans="1:6" x14ac:dyDescent="0.3">
      <c r="A113" s="24" t="s">
        <v>362</v>
      </c>
      <c r="B113" s="8" t="s">
        <v>363</v>
      </c>
      <c r="C113" s="7">
        <v>9584672315</v>
      </c>
      <c r="D113" s="8" t="s">
        <v>346</v>
      </c>
      <c r="E113" s="8" t="s">
        <v>25</v>
      </c>
      <c r="F113" s="25" t="s">
        <v>26</v>
      </c>
    </row>
    <row r="114" spans="1:6" x14ac:dyDescent="0.3">
      <c r="A114" s="24" t="s">
        <v>364</v>
      </c>
      <c r="B114" s="8" t="s">
        <v>365</v>
      </c>
      <c r="C114" s="7">
        <v>9855647524</v>
      </c>
      <c r="D114" s="8" t="s">
        <v>345</v>
      </c>
      <c r="E114" s="8" t="s">
        <v>25</v>
      </c>
      <c r="F114" s="25" t="s">
        <v>26</v>
      </c>
    </row>
  </sheetData>
  <pageMargins left="0.25" right="0.25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38DF9-DB31-49D4-A9D0-D0CB00ECAEFC}">
  <sheetPr codeName="Sheet2">
    <tabColor theme="9" tint="-0.249977111117893"/>
  </sheetPr>
  <dimension ref="A1:L296"/>
  <sheetViews>
    <sheetView showGridLines="0" zoomScale="98" workbookViewId="0">
      <pane ySplit="1" topLeftCell="A2" activePane="bottomLeft" state="frozen"/>
      <selection pane="bottomLeft" activeCell="D21" sqref="D21"/>
    </sheetView>
  </sheetViews>
  <sheetFormatPr defaultRowHeight="14.4" x14ac:dyDescent="0.3"/>
  <cols>
    <col min="1" max="1" width="9.5" style="9" customWidth="1"/>
    <col min="2" max="2" width="11.5" style="23" customWidth="1"/>
    <col min="3" max="3" width="37.59765625" style="10" customWidth="1"/>
    <col min="4" max="4" width="37.5" style="10" customWidth="1"/>
    <col min="5" max="5" width="17.8984375" style="9" customWidth="1"/>
    <col min="6" max="6" width="17.69921875" style="11" customWidth="1"/>
    <col min="7" max="7" width="17.5" style="12" customWidth="1"/>
    <col min="8" max="11" width="12.8984375" style="12" customWidth="1"/>
    <col min="12" max="12" width="33" style="30" customWidth="1"/>
    <col min="13" max="16384" width="8.796875" style="3"/>
  </cols>
  <sheetData>
    <row r="1" spans="1:12" s="4" customFormat="1" ht="27" customHeight="1" x14ac:dyDescent="0.3">
      <c r="A1" s="18" t="s">
        <v>6</v>
      </c>
      <c r="B1" s="19" t="s">
        <v>0</v>
      </c>
      <c r="C1" s="19" t="s">
        <v>1</v>
      </c>
      <c r="D1" s="19" t="s">
        <v>3</v>
      </c>
      <c r="E1" s="19" t="s">
        <v>2</v>
      </c>
      <c r="F1" s="20" t="s">
        <v>7</v>
      </c>
      <c r="G1" s="21" t="s">
        <v>8</v>
      </c>
      <c r="H1" s="21" t="s">
        <v>9</v>
      </c>
      <c r="I1" s="21" t="s">
        <v>320</v>
      </c>
      <c r="J1" s="21" t="s">
        <v>321</v>
      </c>
      <c r="K1" s="21" t="s">
        <v>322</v>
      </c>
      <c r="L1" s="22" t="s">
        <v>323</v>
      </c>
    </row>
    <row r="2" spans="1:12" x14ac:dyDescent="0.3">
      <c r="A2" s="17">
        <v>1</v>
      </c>
      <c r="B2" s="23" t="s">
        <v>28</v>
      </c>
      <c r="C2" s="10" t="s">
        <v>29</v>
      </c>
      <c r="D2" s="10" t="s">
        <v>350</v>
      </c>
      <c r="E2" s="9">
        <v>9876501202</v>
      </c>
      <c r="F2" s="11">
        <v>46202</v>
      </c>
      <c r="G2" s="12">
        <v>0.7999074074074074</v>
      </c>
      <c r="H2" s="12">
        <v>0.80383101851851857</v>
      </c>
      <c r="I2" s="12" t="str">
        <f>TEXT(tblAttendance[[#This Row],[Date]],"mmm")</f>
        <v>Jun</v>
      </c>
      <c r="J2" s="12" t="str">
        <f>TEXT(tblAttendance[[#This Row],[Date]],"yyyy")</f>
        <v>2026</v>
      </c>
      <c r="K2" s="12" t="str">
        <f>TEXT(tblAttendance[[#This Row],[Date]],"dddd")</f>
        <v>Monday</v>
      </c>
      <c r="L2" s="29" t="str">
        <f>_xlfn.XLOOKUP(tblAttendance[[#This Row],[Student_ID]],tblStudents[Student_ID],tblStudents[Address])</f>
        <v>Nashik, Maharashtra</v>
      </c>
    </row>
    <row r="3" spans="1:12" x14ac:dyDescent="0.3">
      <c r="A3" s="17">
        <v>2</v>
      </c>
      <c r="B3" s="23" t="s">
        <v>37</v>
      </c>
      <c r="C3" s="10" t="s">
        <v>38</v>
      </c>
      <c r="D3" s="10" t="s">
        <v>350</v>
      </c>
      <c r="E3" s="9">
        <v>9876501205</v>
      </c>
      <c r="F3" s="11">
        <v>46202</v>
      </c>
      <c r="G3" s="12">
        <v>0.79998842592592589</v>
      </c>
      <c r="H3" s="12">
        <v>0.80306712962962967</v>
      </c>
      <c r="I3" s="12" t="str">
        <f>TEXT(tblAttendance[[#This Row],[Date]],"mmm")</f>
        <v>Jun</v>
      </c>
      <c r="J3" s="12" t="str">
        <f>TEXT(tblAttendance[[#This Row],[Date]],"yyyy")</f>
        <v>2026</v>
      </c>
      <c r="K3" s="12" t="str">
        <f>TEXT(tblAttendance[[#This Row],[Date]],"dddd")</f>
        <v>Monday</v>
      </c>
      <c r="L3" s="29" t="str">
        <f>_xlfn.XLOOKUP(tblAttendance[[#This Row],[Student_ID]],tblStudents[Student_ID],tblStudents[Address])</f>
        <v>Chhatrapati Sambhajinagar, Maharashtra</v>
      </c>
    </row>
    <row r="4" spans="1:12" x14ac:dyDescent="0.3">
      <c r="A4" s="17">
        <v>3</v>
      </c>
      <c r="B4" s="23" t="s">
        <v>47</v>
      </c>
      <c r="C4" s="10" t="s">
        <v>48</v>
      </c>
      <c r="D4" s="10" t="s">
        <v>349</v>
      </c>
      <c r="E4" s="9">
        <v>9876501209</v>
      </c>
      <c r="F4" s="11">
        <v>46202</v>
      </c>
      <c r="G4" s="12">
        <v>0.80005787037037035</v>
      </c>
      <c r="H4" s="12">
        <v>0.80457175925925928</v>
      </c>
      <c r="I4" s="12" t="str">
        <f>TEXT(tblAttendance[[#This Row],[Date]],"mmm")</f>
        <v>Jun</v>
      </c>
      <c r="J4" s="12" t="str">
        <f>TEXT(tblAttendance[[#This Row],[Date]],"yyyy")</f>
        <v>2026</v>
      </c>
      <c r="K4" s="12" t="str">
        <f>TEXT(tblAttendance[[#This Row],[Date]],"dddd")</f>
        <v>Monday</v>
      </c>
      <c r="L4" s="29" t="str">
        <f>_xlfn.XLOOKUP(tblAttendance[[#This Row],[Student_ID]],tblStudents[Student_ID],tblStudents[Address])</f>
        <v>Solapur, Maharashtra</v>
      </c>
    </row>
    <row r="5" spans="1:12" x14ac:dyDescent="0.3">
      <c r="A5" s="17">
        <v>4</v>
      </c>
      <c r="B5" s="23" t="s">
        <v>50</v>
      </c>
      <c r="C5" s="10" t="s">
        <v>51</v>
      </c>
      <c r="D5" s="10" t="s">
        <v>349</v>
      </c>
      <c r="E5" s="9">
        <v>9876501210</v>
      </c>
      <c r="F5" s="11">
        <v>46202</v>
      </c>
      <c r="G5" s="12">
        <v>0.80013888888888884</v>
      </c>
      <c r="H5" s="12">
        <v>0.80464120370370373</v>
      </c>
      <c r="I5" s="12" t="str">
        <f>TEXT(tblAttendance[[#This Row],[Date]],"mmm")</f>
        <v>Jun</v>
      </c>
      <c r="J5" s="12" t="str">
        <f>TEXT(tblAttendance[[#This Row],[Date]],"yyyy")</f>
        <v>2026</v>
      </c>
      <c r="K5" s="12" t="str">
        <f>TEXT(tblAttendance[[#This Row],[Date]],"dddd")</f>
        <v>Monday</v>
      </c>
      <c r="L5" s="29" t="str">
        <f>_xlfn.XLOOKUP(tblAttendance[[#This Row],[Student_ID]],tblStudents[Student_ID],tblStudents[Address])</f>
        <v>Satara, Maharashtra</v>
      </c>
    </row>
    <row r="6" spans="1:12" x14ac:dyDescent="0.3">
      <c r="A6" s="17">
        <v>5</v>
      </c>
      <c r="B6" s="23" t="s">
        <v>72</v>
      </c>
      <c r="C6" s="10" t="s">
        <v>73</v>
      </c>
      <c r="D6" s="10" t="s">
        <v>349</v>
      </c>
      <c r="E6" s="9">
        <v>9876501218</v>
      </c>
      <c r="F6" s="11">
        <v>46202</v>
      </c>
      <c r="G6" s="12">
        <v>0.8002083333333333</v>
      </c>
      <c r="H6" s="12">
        <v>0.80561342592592589</v>
      </c>
      <c r="I6" s="12" t="str">
        <f>TEXT(tblAttendance[[#This Row],[Date]],"mmm")</f>
        <v>Jun</v>
      </c>
      <c r="J6" s="12" t="str">
        <f>TEXT(tblAttendance[[#This Row],[Date]],"yyyy")</f>
        <v>2026</v>
      </c>
      <c r="K6" s="12" t="str">
        <f>TEXT(tblAttendance[[#This Row],[Date]],"dddd")</f>
        <v>Monday</v>
      </c>
      <c r="L6" s="29" t="str">
        <f>_xlfn.XLOOKUP(tblAttendance[[#This Row],[Student_ID]],tblStudents[Student_ID],tblStudents[Address])</f>
        <v>Thane, Maharashtra</v>
      </c>
    </row>
    <row r="7" spans="1:12" x14ac:dyDescent="0.3">
      <c r="A7" s="17">
        <v>6</v>
      </c>
      <c r="B7" s="23" t="s">
        <v>170</v>
      </c>
      <c r="C7" s="10" t="s">
        <v>171</v>
      </c>
      <c r="D7" s="10" t="s">
        <v>346</v>
      </c>
      <c r="E7" s="9">
        <v>9876501258</v>
      </c>
      <c r="F7" s="11">
        <v>46202</v>
      </c>
      <c r="G7" s="12">
        <v>0.80027777777777775</v>
      </c>
      <c r="H7" s="12">
        <v>0.80325231481481485</v>
      </c>
      <c r="I7" s="12" t="str">
        <f>TEXT(tblAttendance[[#This Row],[Date]],"mmm")</f>
        <v>Jun</v>
      </c>
      <c r="J7" s="12" t="str">
        <f>TEXT(tblAttendance[[#This Row],[Date]],"yyyy")</f>
        <v>2026</v>
      </c>
      <c r="K7" s="12" t="str">
        <f>TEXT(tblAttendance[[#This Row],[Date]],"dddd")</f>
        <v>Monday</v>
      </c>
      <c r="L7" s="29" t="str">
        <f>_xlfn.XLOOKUP(tblAttendance[[#This Row],[Student_ID]],tblStudents[Student_ID],tblStudents[Address])</f>
        <v>Ahilya Nagar, Maharashtra, Maharashtra</v>
      </c>
    </row>
    <row r="8" spans="1:12" x14ac:dyDescent="0.3">
      <c r="A8" s="17">
        <v>7</v>
      </c>
      <c r="B8" s="23" t="s">
        <v>172</v>
      </c>
      <c r="C8" s="10" t="s">
        <v>173</v>
      </c>
      <c r="D8" s="10" t="s">
        <v>340</v>
      </c>
      <c r="E8" s="9">
        <v>9876501259</v>
      </c>
      <c r="F8" s="11">
        <v>46202</v>
      </c>
      <c r="G8" s="12">
        <v>0.80043981481481485</v>
      </c>
      <c r="H8" s="12">
        <v>0.83225694444444442</v>
      </c>
      <c r="I8" s="12" t="str">
        <f>TEXT(tblAttendance[[#This Row],[Date]],"mmm")</f>
        <v>Jun</v>
      </c>
      <c r="J8" s="12" t="str">
        <f>TEXT(tblAttendance[[#This Row],[Date]],"yyyy")</f>
        <v>2026</v>
      </c>
      <c r="K8" s="12" t="str">
        <f>TEXT(tblAttendance[[#This Row],[Date]],"dddd")</f>
        <v>Monday</v>
      </c>
      <c r="L8" s="29" t="str">
        <f>_xlfn.XLOOKUP(tblAttendance[[#This Row],[Student_ID]],tblStudents[Student_ID],tblStudents[Address])</f>
        <v>Chhatrapati Sambhajinagar, Maharashtra</v>
      </c>
    </row>
    <row r="9" spans="1:12" x14ac:dyDescent="0.3">
      <c r="A9" s="17">
        <v>8</v>
      </c>
      <c r="B9" s="23" t="s">
        <v>162</v>
      </c>
      <c r="C9" s="10" t="s">
        <v>163</v>
      </c>
      <c r="D9" s="10" t="s">
        <v>346</v>
      </c>
      <c r="E9" s="9">
        <v>9876501254</v>
      </c>
      <c r="F9" s="11">
        <v>46202</v>
      </c>
      <c r="G9" s="12">
        <v>0.80055555555555558</v>
      </c>
      <c r="H9" s="12">
        <v>0.83189814814814811</v>
      </c>
      <c r="I9" s="12" t="str">
        <f>TEXT(tblAttendance[[#This Row],[Date]],"mmm")</f>
        <v>Jun</v>
      </c>
      <c r="J9" s="12" t="str">
        <f>TEXT(tblAttendance[[#This Row],[Date]],"yyyy")</f>
        <v>2026</v>
      </c>
      <c r="K9" s="12" t="str">
        <f>TEXT(tblAttendance[[#This Row],[Date]],"dddd")</f>
        <v>Monday</v>
      </c>
      <c r="L9" s="29" t="str">
        <f>_xlfn.XLOOKUP(tblAttendance[[#This Row],[Student_ID]],tblStudents[Student_ID],tblStudents[Address])</f>
        <v>Ahilya Nagar, Maharashtra, Maharashtra</v>
      </c>
    </row>
    <row r="10" spans="1:12" x14ac:dyDescent="0.3">
      <c r="A10" s="17">
        <v>9</v>
      </c>
      <c r="B10" s="23" t="s">
        <v>168</v>
      </c>
      <c r="C10" s="10" t="s">
        <v>169</v>
      </c>
      <c r="D10" s="10" t="s">
        <v>349</v>
      </c>
      <c r="E10" s="9">
        <v>9876501257</v>
      </c>
      <c r="F10" s="11">
        <v>46202</v>
      </c>
      <c r="G10" s="12">
        <v>0.80063657407407407</v>
      </c>
      <c r="H10" s="12">
        <v>0.83215277777777774</v>
      </c>
      <c r="I10" s="12" t="str">
        <f>TEXT(tblAttendance[[#This Row],[Date]],"mmm")</f>
        <v>Jun</v>
      </c>
      <c r="J10" s="12" t="str">
        <f>TEXT(tblAttendance[[#This Row],[Date]],"yyyy")</f>
        <v>2026</v>
      </c>
      <c r="K10" s="12" t="str">
        <f>TEXT(tblAttendance[[#This Row],[Date]],"dddd")</f>
        <v>Monday</v>
      </c>
      <c r="L10" s="29" t="str">
        <f>_xlfn.XLOOKUP(tblAttendance[[#This Row],[Student_ID]],tblStudents[Student_ID],tblStudents[Address])</f>
        <v>Pune, Maharashtra</v>
      </c>
    </row>
    <row r="11" spans="1:12" x14ac:dyDescent="0.3">
      <c r="A11" s="17">
        <v>10</v>
      </c>
      <c r="B11" s="23" t="s">
        <v>125</v>
      </c>
      <c r="C11" s="10" t="s">
        <v>126</v>
      </c>
      <c r="D11" s="10" t="s">
        <v>347</v>
      </c>
      <c r="E11" s="9">
        <v>9876501236</v>
      </c>
      <c r="F11" s="11">
        <v>46202</v>
      </c>
      <c r="G11" s="12">
        <v>0.80070601851851853</v>
      </c>
      <c r="H11" s="12">
        <v>0.8071990740740741</v>
      </c>
      <c r="I11" s="12" t="str">
        <f>TEXT(tblAttendance[[#This Row],[Date]],"mmm")</f>
        <v>Jun</v>
      </c>
      <c r="J11" s="12" t="str">
        <f>TEXT(tblAttendance[[#This Row],[Date]],"yyyy")</f>
        <v>2026</v>
      </c>
      <c r="K11" s="12" t="str">
        <f>TEXT(tblAttendance[[#This Row],[Date]],"dddd")</f>
        <v>Monday</v>
      </c>
      <c r="L11" s="29" t="str">
        <f>_xlfn.XLOOKUP(tblAttendance[[#This Row],[Student_ID]],tblStudents[Student_ID],tblStudents[Address])</f>
        <v>Pune, Maharashtra</v>
      </c>
    </row>
    <row r="12" spans="1:12" x14ac:dyDescent="0.3">
      <c r="A12" s="17">
        <v>11</v>
      </c>
      <c r="B12" s="23" t="s">
        <v>92</v>
      </c>
      <c r="C12" s="10" t="s">
        <v>93</v>
      </c>
      <c r="D12" s="10" t="s">
        <v>349</v>
      </c>
      <c r="E12" s="9">
        <v>9876501225</v>
      </c>
      <c r="F12" s="11">
        <v>46202</v>
      </c>
      <c r="G12" s="12">
        <v>0.80077546296296298</v>
      </c>
      <c r="H12" s="12">
        <v>0.80364583333333328</v>
      </c>
      <c r="I12" s="12" t="str">
        <f>TEXT(tblAttendance[[#This Row],[Date]],"mmm")</f>
        <v>Jun</v>
      </c>
      <c r="J12" s="12" t="str">
        <f>TEXT(tblAttendance[[#This Row],[Date]],"yyyy")</f>
        <v>2026</v>
      </c>
      <c r="K12" s="12" t="str">
        <f>TEXT(tblAttendance[[#This Row],[Date]],"dddd")</f>
        <v>Monday</v>
      </c>
      <c r="L12" s="29" t="str">
        <f>_xlfn.XLOOKUP(tblAttendance[[#This Row],[Student_ID]],tblStudents[Student_ID],tblStudents[Address])</f>
        <v>Wardha, Maharashtra</v>
      </c>
    </row>
    <row r="13" spans="1:12" x14ac:dyDescent="0.3">
      <c r="A13" s="17">
        <v>12</v>
      </c>
      <c r="B13" s="23" t="s">
        <v>27</v>
      </c>
      <c r="C13" s="10" t="s">
        <v>24</v>
      </c>
      <c r="D13" s="10" t="s">
        <v>349</v>
      </c>
      <c r="E13" s="9">
        <v>9876501201</v>
      </c>
      <c r="F13" s="11">
        <v>46202</v>
      </c>
      <c r="G13" s="12">
        <v>0.80137731481481478</v>
      </c>
      <c r="H13" s="12">
        <v>0.80376157407407411</v>
      </c>
      <c r="I13" s="12" t="str">
        <f>TEXT(tblAttendance[[#This Row],[Date]],"mmm")</f>
        <v>Jun</v>
      </c>
      <c r="J13" s="12" t="str">
        <f>TEXT(tblAttendance[[#This Row],[Date]],"yyyy")</f>
        <v>2026</v>
      </c>
      <c r="K13" s="12" t="str">
        <f>TEXT(tblAttendance[[#This Row],[Date]],"dddd")</f>
        <v>Monday</v>
      </c>
      <c r="L13" s="29" t="str">
        <f>_xlfn.XLOOKUP(tblAttendance[[#This Row],[Student_ID]],tblStudents[Student_ID],tblStudents[Address])</f>
        <v>Pune, Maharashtra</v>
      </c>
    </row>
    <row r="14" spans="1:12" x14ac:dyDescent="0.3">
      <c r="A14" s="17">
        <v>13</v>
      </c>
      <c r="B14" s="23" t="s">
        <v>44</v>
      </c>
      <c r="C14" s="10" t="s">
        <v>45</v>
      </c>
      <c r="D14" s="10" t="s">
        <v>350</v>
      </c>
      <c r="E14" s="9">
        <v>9876501208</v>
      </c>
      <c r="F14" s="11">
        <v>46202</v>
      </c>
      <c r="G14" s="12">
        <v>0.80144675925925923</v>
      </c>
      <c r="H14" s="12">
        <v>0.80439814814814814</v>
      </c>
      <c r="I14" s="12" t="str">
        <f>TEXT(tblAttendance[[#This Row],[Date]],"mmm")</f>
        <v>Jun</v>
      </c>
      <c r="J14" s="12" t="str">
        <f>TEXT(tblAttendance[[#This Row],[Date]],"yyyy")</f>
        <v>2026</v>
      </c>
      <c r="K14" s="12" t="str">
        <f>TEXT(tblAttendance[[#This Row],[Date]],"dddd")</f>
        <v>Monday</v>
      </c>
      <c r="L14" s="29" t="str">
        <f>_xlfn.XLOOKUP(tblAttendance[[#This Row],[Student_ID]],tblStudents[Student_ID],tblStudents[Address])</f>
        <v>Kolhapur, Maharashtra</v>
      </c>
    </row>
    <row r="15" spans="1:12" x14ac:dyDescent="0.3">
      <c r="A15" s="17">
        <v>14</v>
      </c>
      <c r="B15" s="23" t="s">
        <v>81</v>
      </c>
      <c r="C15" s="10" t="s">
        <v>82</v>
      </c>
      <c r="D15" s="10" t="s">
        <v>344</v>
      </c>
      <c r="E15" s="9">
        <v>9876501221</v>
      </c>
      <c r="F15" s="11">
        <v>46202</v>
      </c>
      <c r="G15" s="12">
        <v>0.80155092592592592</v>
      </c>
      <c r="H15" s="12">
        <v>0.80585648148148148</v>
      </c>
      <c r="I15" s="12" t="str">
        <f>TEXT(tblAttendance[[#This Row],[Date]],"mmm")</f>
        <v>Jun</v>
      </c>
      <c r="J15" s="12" t="str">
        <f>TEXT(tblAttendance[[#This Row],[Date]],"yyyy")</f>
        <v>2026</v>
      </c>
      <c r="K15" s="12" t="str">
        <f>TEXT(tblAttendance[[#This Row],[Date]],"dddd")</f>
        <v>Monday</v>
      </c>
      <c r="L15" s="29" t="str">
        <f>_xlfn.XLOOKUP(tblAttendance[[#This Row],[Student_ID]],tblStudents[Student_ID],tblStudents[Address])</f>
        <v>Pune, Maharashtra</v>
      </c>
    </row>
    <row r="16" spans="1:12" x14ac:dyDescent="0.3">
      <c r="A16" s="17">
        <v>15</v>
      </c>
      <c r="B16" s="23" t="s">
        <v>83</v>
      </c>
      <c r="C16" s="10" t="s">
        <v>84</v>
      </c>
      <c r="D16" s="10" t="s">
        <v>344</v>
      </c>
      <c r="E16" s="9">
        <v>9876501222</v>
      </c>
      <c r="F16" s="11">
        <v>46202</v>
      </c>
      <c r="G16" s="12">
        <v>0.80162037037037037</v>
      </c>
      <c r="H16" s="12">
        <v>0.80593749999999997</v>
      </c>
      <c r="I16" s="12" t="str">
        <f>TEXT(tblAttendance[[#This Row],[Date]],"mmm")</f>
        <v>Jun</v>
      </c>
      <c r="J16" s="12" t="str">
        <f>TEXT(tblAttendance[[#This Row],[Date]],"yyyy")</f>
        <v>2026</v>
      </c>
      <c r="K16" s="12" t="str">
        <f>TEXT(tblAttendance[[#This Row],[Date]],"dddd")</f>
        <v>Monday</v>
      </c>
      <c r="L16" s="29" t="str">
        <f>_xlfn.XLOOKUP(tblAttendance[[#This Row],[Student_ID]],tblStudents[Student_ID],tblStudents[Address])</f>
        <v>Navi Mumbai, Maharashtra</v>
      </c>
    </row>
    <row r="17" spans="1:12" x14ac:dyDescent="0.3">
      <c r="A17" s="17">
        <v>16</v>
      </c>
      <c r="B17" s="23" t="s">
        <v>89</v>
      </c>
      <c r="C17" s="10" t="s">
        <v>90</v>
      </c>
      <c r="D17" s="10" t="s">
        <v>349</v>
      </c>
      <c r="E17" s="9">
        <v>9876501224</v>
      </c>
      <c r="F17" s="11">
        <v>46202</v>
      </c>
      <c r="G17" s="12">
        <v>0.80168981481481483</v>
      </c>
      <c r="H17" s="12">
        <v>0.80607638888888888</v>
      </c>
      <c r="I17" s="12" t="str">
        <f>TEXT(tblAttendance[[#This Row],[Date]],"mmm")</f>
        <v>Jun</v>
      </c>
      <c r="J17" s="12" t="str">
        <f>TEXT(tblAttendance[[#This Row],[Date]],"yyyy")</f>
        <v>2026</v>
      </c>
      <c r="K17" s="12" t="str">
        <f>TEXT(tblAttendance[[#This Row],[Date]],"dddd")</f>
        <v>Monday</v>
      </c>
      <c r="L17" s="29" t="str">
        <f>_xlfn.XLOOKUP(tblAttendance[[#This Row],[Student_ID]],tblStudents[Student_ID],tblStudents[Address])</f>
        <v>Nanded, Maharashtra</v>
      </c>
    </row>
    <row r="18" spans="1:12" x14ac:dyDescent="0.3">
      <c r="A18" s="17">
        <v>17</v>
      </c>
      <c r="B18" s="23" t="s">
        <v>136</v>
      </c>
      <c r="C18" s="10" t="s">
        <v>137</v>
      </c>
      <c r="D18" s="10" t="s">
        <v>342</v>
      </c>
      <c r="E18" s="9">
        <v>9876501241</v>
      </c>
      <c r="F18" s="11">
        <v>46202</v>
      </c>
      <c r="G18" s="12">
        <v>0.80179398148148151</v>
      </c>
      <c r="H18" s="12">
        <v>0.80755787037037041</v>
      </c>
      <c r="I18" s="12" t="str">
        <f>TEXT(tblAttendance[[#This Row],[Date]],"mmm")</f>
        <v>Jun</v>
      </c>
      <c r="J18" s="12" t="str">
        <f>TEXT(tblAttendance[[#This Row],[Date]],"yyyy")</f>
        <v>2026</v>
      </c>
      <c r="K18" s="12" t="str">
        <f>TEXT(tblAttendance[[#This Row],[Date]],"dddd")</f>
        <v>Monday</v>
      </c>
      <c r="L18" s="29" t="str">
        <f>_xlfn.XLOOKUP(tblAttendance[[#This Row],[Student_ID]],tblStudents[Student_ID],tblStudents[Address])</f>
        <v>Pune, Maharashtra</v>
      </c>
    </row>
    <row r="19" spans="1:12" x14ac:dyDescent="0.3">
      <c r="A19" s="17">
        <v>18</v>
      </c>
      <c r="B19" s="23" t="s">
        <v>166</v>
      </c>
      <c r="C19" s="10" t="s">
        <v>167</v>
      </c>
      <c r="D19" s="10" t="s">
        <v>346</v>
      </c>
      <c r="E19" s="9">
        <v>9876501256</v>
      </c>
      <c r="F19" s="11">
        <v>46202</v>
      </c>
      <c r="G19" s="12">
        <v>0.80189814814814819</v>
      </c>
      <c r="H19" s="12">
        <v>0.83209490740740744</v>
      </c>
      <c r="I19" s="12" t="str">
        <f>TEXT(tblAttendance[[#This Row],[Date]],"mmm")</f>
        <v>Jun</v>
      </c>
      <c r="J19" s="12" t="str">
        <f>TEXT(tblAttendance[[#This Row],[Date]],"yyyy")</f>
        <v>2026</v>
      </c>
      <c r="K19" s="12" t="str">
        <f>TEXT(tblAttendance[[#This Row],[Date]],"dddd")</f>
        <v>Monday</v>
      </c>
      <c r="L19" s="29" t="str">
        <f>_xlfn.XLOOKUP(tblAttendance[[#This Row],[Student_ID]],tblStudents[Student_ID],tblStudents[Address])</f>
        <v>Pune, Maharashtra</v>
      </c>
    </row>
    <row r="20" spans="1:12" x14ac:dyDescent="0.3">
      <c r="A20" s="17">
        <v>19</v>
      </c>
      <c r="B20" s="23" t="s">
        <v>23</v>
      </c>
      <c r="C20" s="10" t="s">
        <v>40</v>
      </c>
      <c r="D20" s="10" t="s">
        <v>344</v>
      </c>
      <c r="E20" s="9">
        <v>9876501206</v>
      </c>
      <c r="F20" s="11">
        <v>46202</v>
      </c>
      <c r="G20" s="12">
        <v>0.80209490740740741</v>
      </c>
      <c r="H20" s="12">
        <v>0.80420138888888892</v>
      </c>
      <c r="I20" s="12" t="str">
        <f>TEXT(tblAttendance[[#This Row],[Date]],"mmm")</f>
        <v>Jun</v>
      </c>
      <c r="J20" s="12" t="str">
        <f>TEXT(tblAttendance[[#This Row],[Date]],"yyyy")</f>
        <v>2026</v>
      </c>
      <c r="K20" s="12" t="str">
        <f>TEXT(tblAttendance[[#This Row],[Date]],"dddd")</f>
        <v>Monday</v>
      </c>
      <c r="L20" s="29" t="str">
        <f>_xlfn.XLOOKUP(tblAttendance[[#This Row],[Student_ID]],tblStudents[Student_ID],tblStudents[Address])</f>
        <v>Jalna, Maharashtra</v>
      </c>
    </row>
    <row r="21" spans="1:12" x14ac:dyDescent="0.3">
      <c r="A21" s="17">
        <v>20</v>
      </c>
      <c r="B21" s="23" t="s">
        <v>113</v>
      </c>
      <c r="C21" s="10" t="s">
        <v>114</v>
      </c>
      <c r="D21" s="10" t="s">
        <v>347</v>
      </c>
      <c r="E21" s="9">
        <v>9876501232</v>
      </c>
      <c r="F21" s="11">
        <v>46202</v>
      </c>
      <c r="G21" s="12">
        <v>0.80218750000000005</v>
      </c>
      <c r="H21" s="12">
        <v>0.8067361111111111</v>
      </c>
      <c r="I21" s="12" t="str">
        <f>TEXT(tblAttendance[[#This Row],[Date]],"mmm")</f>
        <v>Jun</v>
      </c>
      <c r="J21" s="12" t="str">
        <f>TEXT(tblAttendance[[#This Row],[Date]],"yyyy")</f>
        <v>2026</v>
      </c>
      <c r="K21" s="12" t="str">
        <f>TEXT(tblAttendance[[#This Row],[Date]],"dddd")</f>
        <v>Monday</v>
      </c>
      <c r="L21" s="29" t="str">
        <f>_xlfn.XLOOKUP(tblAttendance[[#This Row],[Student_ID]],tblStudents[Student_ID],tblStudents[Address])</f>
        <v xml:space="preserve">Yavatmal, Maharashtra </v>
      </c>
    </row>
    <row r="22" spans="1:12" x14ac:dyDescent="0.3">
      <c r="A22" s="17">
        <v>21</v>
      </c>
      <c r="B22" s="23" t="s">
        <v>229</v>
      </c>
      <c r="C22" s="10" t="s">
        <v>230</v>
      </c>
      <c r="D22" s="10" t="s">
        <v>340</v>
      </c>
      <c r="E22" s="9">
        <v>9834512708</v>
      </c>
      <c r="F22" s="11">
        <v>46202</v>
      </c>
      <c r="G22" s="12">
        <v>0.80232638888888885</v>
      </c>
      <c r="H22" s="12">
        <v>0.83406250000000004</v>
      </c>
      <c r="I22" s="12" t="str">
        <f>TEXT(tblAttendance[[#This Row],[Date]],"mmm")</f>
        <v>Jun</v>
      </c>
      <c r="J22" s="12" t="str">
        <f>TEXT(tblAttendance[[#This Row],[Date]],"yyyy")</f>
        <v>2026</v>
      </c>
      <c r="K22" s="12" t="str">
        <f>TEXT(tblAttendance[[#This Row],[Date]],"dddd")</f>
        <v>Monday</v>
      </c>
      <c r="L22" s="29" t="str">
        <f>_xlfn.XLOOKUP(tblAttendance[[#This Row],[Student_ID]],tblStudents[Student_ID],tblStudents[Address])</f>
        <v>Pimpri, Pune</v>
      </c>
    </row>
    <row r="23" spans="1:12" x14ac:dyDescent="0.3">
      <c r="A23" s="17">
        <v>22</v>
      </c>
      <c r="B23" s="23" t="s">
        <v>211</v>
      </c>
      <c r="C23" s="10" t="s">
        <v>212</v>
      </c>
      <c r="D23" s="10" t="s">
        <v>348</v>
      </c>
      <c r="E23" s="9">
        <v>9834512702</v>
      </c>
      <c r="F23" s="11">
        <v>46202</v>
      </c>
      <c r="G23" s="12">
        <v>0.80353009259259256</v>
      </c>
      <c r="H23" s="12">
        <v>0.83347222222222217</v>
      </c>
      <c r="I23" s="12" t="str">
        <f>TEXT(tblAttendance[[#This Row],[Date]],"mmm")</f>
        <v>Jun</v>
      </c>
      <c r="J23" s="12" t="str">
        <f>TEXT(tblAttendance[[#This Row],[Date]],"yyyy")</f>
        <v>2026</v>
      </c>
      <c r="K23" s="12" t="str">
        <f>TEXT(tblAttendance[[#This Row],[Date]],"dddd")</f>
        <v>Monday</v>
      </c>
      <c r="L23" s="29" t="str">
        <f>_xlfn.XLOOKUP(tblAttendance[[#This Row],[Student_ID]],tblStudents[Student_ID],tblStudents[Address])</f>
        <v>Wagholi, Pune</v>
      </c>
    </row>
    <row r="24" spans="1:12" x14ac:dyDescent="0.3">
      <c r="A24" s="17">
        <v>23</v>
      </c>
      <c r="B24" s="23" t="s">
        <v>31</v>
      </c>
      <c r="C24" s="10" t="s">
        <v>32</v>
      </c>
      <c r="D24" s="10" t="s">
        <v>344</v>
      </c>
      <c r="E24" s="9">
        <v>9876501203</v>
      </c>
      <c r="F24" s="11">
        <v>46202</v>
      </c>
      <c r="G24" s="12">
        <v>0.80393518518518514</v>
      </c>
      <c r="H24" s="12">
        <v>0.8287268518518518</v>
      </c>
      <c r="I24" s="12" t="str">
        <f>TEXT(tblAttendance[[#This Row],[Date]],"mmm")</f>
        <v>Jun</v>
      </c>
      <c r="J24" s="12" t="str">
        <f>TEXT(tblAttendance[[#This Row],[Date]],"yyyy")</f>
        <v>2026</v>
      </c>
      <c r="K24" s="12" t="str">
        <f>TEXT(tblAttendance[[#This Row],[Date]],"dddd")</f>
        <v>Monday</v>
      </c>
      <c r="L24" s="29" t="str">
        <f>_xlfn.XLOOKUP(tblAttendance[[#This Row],[Student_ID]],tblStudents[Student_ID],tblStudents[Address])</f>
        <v>Nagpur, Maharashtra</v>
      </c>
    </row>
    <row r="25" spans="1:12" x14ac:dyDescent="0.3">
      <c r="A25" s="17">
        <v>24</v>
      </c>
      <c r="B25" s="23" t="s">
        <v>34</v>
      </c>
      <c r="C25" s="10" t="s">
        <v>35</v>
      </c>
      <c r="D25" s="10" t="s">
        <v>350</v>
      </c>
      <c r="E25" s="9">
        <v>9876501204</v>
      </c>
      <c r="F25" s="11">
        <v>46202</v>
      </c>
      <c r="G25" s="12">
        <v>0.8040046296296296</v>
      </c>
      <c r="H25" s="12">
        <v>0.82879629629629625</v>
      </c>
      <c r="I25" s="12" t="str">
        <f>TEXT(tblAttendance[[#This Row],[Date]],"mmm")</f>
        <v>Jun</v>
      </c>
      <c r="J25" s="12" t="str">
        <f>TEXT(tblAttendance[[#This Row],[Date]],"yyyy")</f>
        <v>2026</v>
      </c>
      <c r="K25" s="12" t="str">
        <f>TEXT(tblAttendance[[#This Row],[Date]],"dddd")</f>
        <v>Monday</v>
      </c>
      <c r="L25" s="29" t="str">
        <f>_xlfn.XLOOKUP(tblAttendance[[#This Row],[Student_ID]],tblStudents[Student_ID],tblStudents[Address])</f>
        <v>Mumbai, Maharashtra</v>
      </c>
    </row>
    <row r="26" spans="1:12" x14ac:dyDescent="0.3">
      <c r="A26" s="17">
        <v>25</v>
      </c>
      <c r="B26" s="23" t="s">
        <v>37</v>
      </c>
      <c r="C26" s="10" t="s">
        <v>38</v>
      </c>
      <c r="D26" s="10" t="s">
        <v>350</v>
      </c>
      <c r="E26" s="9">
        <v>9876501205</v>
      </c>
      <c r="F26" s="11">
        <v>46202</v>
      </c>
      <c r="G26" s="12">
        <v>0.80412037037037032</v>
      </c>
      <c r="H26" s="12">
        <v>0.82887731481481486</v>
      </c>
      <c r="I26" s="12" t="str">
        <f>TEXT(tblAttendance[[#This Row],[Date]],"mmm")</f>
        <v>Jun</v>
      </c>
      <c r="J26" s="12" t="str">
        <f>TEXT(tblAttendance[[#This Row],[Date]],"yyyy")</f>
        <v>2026</v>
      </c>
      <c r="K26" s="12" t="str">
        <f>TEXT(tblAttendance[[#This Row],[Date]],"dddd")</f>
        <v>Monday</v>
      </c>
      <c r="L26" s="29" t="str">
        <f>_xlfn.XLOOKUP(tblAttendance[[#This Row],[Student_ID]],tblStudents[Student_ID],tblStudents[Address])</f>
        <v>Chhatrapati Sambhajinagar, Maharashtra</v>
      </c>
    </row>
    <row r="27" spans="1:12" x14ac:dyDescent="0.3">
      <c r="A27" s="17">
        <v>26</v>
      </c>
      <c r="B27" s="23" t="s">
        <v>42</v>
      </c>
      <c r="C27" s="10" t="s">
        <v>43</v>
      </c>
      <c r="D27" s="10" t="s">
        <v>344</v>
      </c>
      <c r="E27" s="9">
        <v>9876501207</v>
      </c>
      <c r="F27" s="11">
        <v>46202</v>
      </c>
      <c r="G27" s="12">
        <v>0.80428240740740742</v>
      </c>
      <c r="H27" s="12">
        <v>0.82899305555555558</v>
      </c>
      <c r="I27" s="12" t="str">
        <f>TEXT(tblAttendance[[#This Row],[Date]],"mmm")</f>
        <v>Jun</v>
      </c>
      <c r="J27" s="12" t="str">
        <f>TEXT(tblAttendance[[#This Row],[Date]],"yyyy")</f>
        <v>2026</v>
      </c>
      <c r="K27" s="12" t="str">
        <f>TEXT(tblAttendance[[#This Row],[Date]],"dddd")</f>
        <v>Monday</v>
      </c>
      <c r="L27" s="29" t="str">
        <f>_xlfn.XLOOKUP(tblAttendance[[#This Row],[Student_ID]],tblStudents[Student_ID],tblStudents[Address])</f>
        <v>Pune, Maharashtra</v>
      </c>
    </row>
    <row r="28" spans="1:12" x14ac:dyDescent="0.3">
      <c r="A28" s="17">
        <v>27</v>
      </c>
      <c r="B28" s="23" t="s">
        <v>44</v>
      </c>
      <c r="C28" s="10" t="s">
        <v>45</v>
      </c>
      <c r="D28" s="10" t="s">
        <v>350</v>
      </c>
      <c r="E28" s="9">
        <v>9876501208</v>
      </c>
      <c r="F28" s="11">
        <v>46202</v>
      </c>
      <c r="G28" s="12">
        <v>0.80442129629629633</v>
      </c>
      <c r="H28" s="12">
        <v>0.80445601851851856</v>
      </c>
      <c r="I28" s="12" t="str">
        <f>TEXT(tblAttendance[[#This Row],[Date]],"mmm")</f>
        <v>Jun</v>
      </c>
      <c r="J28" s="12" t="str">
        <f>TEXT(tblAttendance[[#This Row],[Date]],"yyyy")</f>
        <v>2026</v>
      </c>
      <c r="K28" s="12" t="str">
        <f>TEXT(tblAttendance[[#This Row],[Date]],"dddd")</f>
        <v>Monday</v>
      </c>
      <c r="L28" s="29" t="str">
        <f>_xlfn.XLOOKUP(tblAttendance[[#This Row],[Student_ID]],tblStudents[Student_ID],tblStudents[Address])</f>
        <v>Kolhapur, Maharashtra</v>
      </c>
    </row>
    <row r="29" spans="1:12" x14ac:dyDescent="0.3">
      <c r="A29" s="17">
        <v>28</v>
      </c>
      <c r="B29" s="23" t="s">
        <v>53</v>
      </c>
      <c r="C29" s="10" t="s">
        <v>54</v>
      </c>
      <c r="D29" s="10" t="s">
        <v>350</v>
      </c>
      <c r="E29" s="9">
        <v>9876501211</v>
      </c>
      <c r="F29" s="11">
        <v>46202</v>
      </c>
      <c r="G29" s="12">
        <v>0.80471064814814819</v>
      </c>
      <c r="H29" s="12">
        <v>0.82925925925925925</v>
      </c>
      <c r="I29" s="12" t="str">
        <f>TEXT(tblAttendance[[#This Row],[Date]],"mmm")</f>
        <v>Jun</v>
      </c>
      <c r="J29" s="12" t="str">
        <f>TEXT(tblAttendance[[#This Row],[Date]],"yyyy")</f>
        <v>2026</v>
      </c>
      <c r="K29" s="12" t="str">
        <f>TEXT(tblAttendance[[#This Row],[Date]],"dddd")</f>
        <v>Monday</v>
      </c>
      <c r="L29" s="29" t="str">
        <f>_xlfn.XLOOKUP(tblAttendance[[#This Row],[Student_ID]],tblStudents[Student_ID],tblStudents[Address])</f>
        <v>Sangli, Maharashtra</v>
      </c>
    </row>
    <row r="30" spans="1:12" x14ac:dyDescent="0.3">
      <c r="A30" s="17">
        <v>29</v>
      </c>
      <c r="B30" s="23" t="s">
        <v>56</v>
      </c>
      <c r="C30" s="10" t="s">
        <v>57</v>
      </c>
      <c r="D30" s="10" t="s">
        <v>350</v>
      </c>
      <c r="E30" s="9">
        <v>9876501212</v>
      </c>
      <c r="F30" s="11">
        <v>46202</v>
      </c>
      <c r="G30" s="12">
        <v>0.80478009259259264</v>
      </c>
      <c r="H30" s="12">
        <v>0.805150462962963</v>
      </c>
      <c r="I30" s="12" t="str">
        <f>TEXT(tblAttendance[[#This Row],[Date]],"mmm")</f>
        <v>Jun</v>
      </c>
      <c r="J30" s="12" t="str">
        <f>TEXT(tblAttendance[[#This Row],[Date]],"yyyy")</f>
        <v>2026</v>
      </c>
      <c r="K30" s="12" t="str">
        <f>TEXT(tblAttendance[[#This Row],[Date]],"dddd")</f>
        <v>Monday</v>
      </c>
      <c r="L30" s="29" t="str">
        <f>_xlfn.XLOOKUP(tblAttendance[[#This Row],[Student_ID]],tblStudents[Student_ID],tblStudents[Address])</f>
        <v>Ahilya Nagar, Maharashtra</v>
      </c>
    </row>
    <row r="31" spans="1:12" x14ac:dyDescent="0.3">
      <c r="A31" s="17">
        <v>30</v>
      </c>
      <c r="B31" s="23" t="s">
        <v>58</v>
      </c>
      <c r="C31" s="10" t="s">
        <v>59</v>
      </c>
      <c r="D31" s="10" t="s">
        <v>350</v>
      </c>
      <c r="E31" s="9">
        <v>9876501213</v>
      </c>
      <c r="F31" s="11">
        <v>46202</v>
      </c>
      <c r="G31" s="12">
        <v>0.80521990740740745</v>
      </c>
      <c r="H31" s="12">
        <v>0.82936342592592593</v>
      </c>
      <c r="I31" s="12" t="str">
        <f>TEXT(tblAttendance[[#This Row],[Date]],"mmm")</f>
        <v>Jun</v>
      </c>
      <c r="J31" s="12" t="str">
        <f>TEXT(tblAttendance[[#This Row],[Date]],"yyyy")</f>
        <v>2026</v>
      </c>
      <c r="K31" s="12" t="str">
        <f>TEXT(tblAttendance[[#This Row],[Date]],"dddd")</f>
        <v>Monday</v>
      </c>
      <c r="L31" s="29" t="str">
        <f>_xlfn.XLOOKUP(tblAttendance[[#This Row],[Student_ID]],tblStudents[Student_ID],tblStudents[Address])</f>
        <v>Beed, Maharashtra</v>
      </c>
    </row>
    <row r="32" spans="1:12" x14ac:dyDescent="0.3">
      <c r="A32" s="17">
        <v>31</v>
      </c>
      <c r="B32" s="23" t="s">
        <v>61</v>
      </c>
      <c r="C32" s="10" t="s">
        <v>62</v>
      </c>
      <c r="D32" s="10" t="s">
        <v>344</v>
      </c>
      <c r="E32" s="9">
        <v>9876501214</v>
      </c>
      <c r="F32" s="11">
        <v>46202</v>
      </c>
      <c r="G32" s="12">
        <v>0.80527777777777776</v>
      </c>
      <c r="H32" s="12">
        <v>0.82943287037037039</v>
      </c>
      <c r="I32" s="12" t="str">
        <f>TEXT(tblAttendance[[#This Row],[Date]],"mmm")</f>
        <v>Jun</v>
      </c>
      <c r="J32" s="12" t="str">
        <f>TEXT(tblAttendance[[#This Row],[Date]],"yyyy")</f>
        <v>2026</v>
      </c>
      <c r="K32" s="12" t="str">
        <f>TEXT(tblAttendance[[#This Row],[Date]],"dddd")</f>
        <v>Monday</v>
      </c>
      <c r="L32" s="29" t="str">
        <f>_xlfn.XLOOKUP(tblAttendance[[#This Row],[Student_ID]],tblStudents[Student_ID],tblStudents[Address])</f>
        <v>Latur, Maharashtra</v>
      </c>
    </row>
    <row r="33" spans="1:12" x14ac:dyDescent="0.3">
      <c r="A33" s="17">
        <v>32</v>
      </c>
      <c r="B33" s="23" t="s">
        <v>64</v>
      </c>
      <c r="C33" s="10" t="s">
        <v>65</v>
      </c>
      <c r="D33" s="10" t="s">
        <v>344</v>
      </c>
      <c r="E33" s="9">
        <v>9876501215</v>
      </c>
      <c r="F33" s="11">
        <v>46202</v>
      </c>
      <c r="G33" s="12">
        <v>0.80533564814814818</v>
      </c>
      <c r="H33" s="12">
        <v>0.82950231481481485</v>
      </c>
      <c r="I33" s="12" t="str">
        <f>TEXT(tblAttendance[[#This Row],[Date]],"mmm")</f>
        <v>Jun</v>
      </c>
      <c r="J33" s="12" t="str">
        <f>TEXT(tblAttendance[[#This Row],[Date]],"yyyy")</f>
        <v>2026</v>
      </c>
      <c r="K33" s="12" t="str">
        <f>TEXT(tblAttendance[[#This Row],[Date]],"dddd")</f>
        <v>Monday</v>
      </c>
      <c r="L33" s="29" t="str">
        <f>_xlfn.XLOOKUP(tblAttendance[[#This Row],[Student_ID]],tblStudents[Student_ID],tblStudents[Address])</f>
        <v>Akola, Maharashtra</v>
      </c>
    </row>
    <row r="34" spans="1:12" x14ac:dyDescent="0.3">
      <c r="A34" s="17">
        <v>33</v>
      </c>
      <c r="B34" s="23" t="s">
        <v>67</v>
      </c>
      <c r="C34" s="10" t="s">
        <v>68</v>
      </c>
      <c r="D34" s="10" t="s">
        <v>349</v>
      </c>
      <c r="E34" s="9">
        <v>9876501216</v>
      </c>
      <c r="F34" s="11">
        <v>46202</v>
      </c>
      <c r="G34" s="12">
        <v>0.8054513888888889</v>
      </c>
      <c r="H34" s="12">
        <v>0.8295717592592593</v>
      </c>
      <c r="I34" s="12" t="str">
        <f>TEXT(tblAttendance[[#This Row],[Date]],"mmm")</f>
        <v>Jun</v>
      </c>
      <c r="J34" s="12" t="str">
        <f>TEXT(tblAttendance[[#This Row],[Date]],"yyyy")</f>
        <v>2026</v>
      </c>
      <c r="K34" s="12" t="str">
        <f>TEXT(tblAttendance[[#This Row],[Date]],"dddd")</f>
        <v>Monday</v>
      </c>
      <c r="L34" s="29" t="str">
        <f>_xlfn.XLOOKUP(tblAttendance[[#This Row],[Student_ID]],tblStudents[Student_ID],tblStudents[Address])</f>
        <v>Dharashiv, Maharashtra</v>
      </c>
    </row>
    <row r="35" spans="1:12" x14ac:dyDescent="0.3">
      <c r="A35" s="17">
        <v>34</v>
      </c>
      <c r="B35" s="23" t="s">
        <v>70</v>
      </c>
      <c r="C35" s="10" t="s">
        <v>71</v>
      </c>
      <c r="D35" s="10" t="s">
        <v>344</v>
      </c>
      <c r="E35" s="9">
        <v>9876501217</v>
      </c>
      <c r="F35" s="11">
        <v>46202</v>
      </c>
      <c r="G35" s="12">
        <v>0.80552083333333335</v>
      </c>
      <c r="H35" s="12">
        <v>0.82964120370370376</v>
      </c>
      <c r="I35" s="12" t="str">
        <f>TEXT(tblAttendance[[#This Row],[Date]],"mmm")</f>
        <v>Jun</v>
      </c>
      <c r="J35" s="12" t="str">
        <f>TEXT(tblAttendance[[#This Row],[Date]],"yyyy")</f>
        <v>2026</v>
      </c>
      <c r="K35" s="12" t="str">
        <f>TEXT(tblAttendance[[#This Row],[Date]],"dddd")</f>
        <v>Monday</v>
      </c>
      <c r="L35" s="29" t="str">
        <f>_xlfn.XLOOKUP(tblAttendance[[#This Row],[Student_ID]],tblStudents[Student_ID],tblStudents[Address])</f>
        <v>Pune, Maharashtra</v>
      </c>
    </row>
    <row r="36" spans="1:12" x14ac:dyDescent="0.3">
      <c r="A36" s="17">
        <v>35</v>
      </c>
      <c r="B36" s="23" t="s">
        <v>75</v>
      </c>
      <c r="C36" s="10" t="s">
        <v>76</v>
      </c>
      <c r="D36" s="10" t="s">
        <v>344</v>
      </c>
      <c r="E36" s="9">
        <v>9876501219</v>
      </c>
      <c r="F36" s="11">
        <v>46202</v>
      </c>
      <c r="G36" s="12">
        <v>0.80568287037037034</v>
      </c>
      <c r="H36" s="12">
        <v>0.82974537037037033</v>
      </c>
      <c r="I36" s="12" t="str">
        <f>TEXT(tblAttendance[[#This Row],[Date]],"mmm")</f>
        <v>Jun</v>
      </c>
      <c r="J36" s="12" t="str">
        <f>TEXT(tblAttendance[[#This Row],[Date]],"yyyy")</f>
        <v>2026</v>
      </c>
      <c r="K36" s="12" t="str">
        <f>TEXT(tblAttendance[[#This Row],[Date]],"dddd")</f>
        <v>Monday</v>
      </c>
      <c r="L36" s="29" t="str">
        <f>_xlfn.XLOOKUP(tblAttendance[[#This Row],[Student_ID]],tblStudents[Student_ID],tblStudents[Address])</f>
        <v>Jalgaon, Maharashtra</v>
      </c>
    </row>
    <row r="37" spans="1:12" x14ac:dyDescent="0.3">
      <c r="A37" s="17">
        <v>36</v>
      </c>
      <c r="B37" s="23" t="s">
        <v>78</v>
      </c>
      <c r="C37" s="10" t="s">
        <v>79</v>
      </c>
      <c r="D37" s="10" t="s">
        <v>350</v>
      </c>
      <c r="E37" s="9">
        <v>9876501220</v>
      </c>
      <c r="F37" s="11">
        <v>46202</v>
      </c>
      <c r="G37" s="12">
        <v>0.8057523148148148</v>
      </c>
      <c r="H37" s="12">
        <v>0.82981481481481478</v>
      </c>
      <c r="I37" s="12" t="str">
        <f>TEXT(tblAttendance[[#This Row],[Date]],"mmm")</f>
        <v>Jun</v>
      </c>
      <c r="J37" s="12" t="str">
        <f>TEXT(tblAttendance[[#This Row],[Date]],"yyyy")</f>
        <v>2026</v>
      </c>
      <c r="K37" s="12" t="str">
        <f>TEXT(tblAttendance[[#This Row],[Date]],"dddd")</f>
        <v>Monday</v>
      </c>
      <c r="L37" s="29" t="str">
        <f>_xlfn.XLOOKUP(tblAttendance[[#This Row],[Student_ID]],tblStudents[Student_ID],tblStudents[Address])</f>
        <v>Amravati, Maharashtra</v>
      </c>
    </row>
    <row r="38" spans="1:12" x14ac:dyDescent="0.3">
      <c r="A38" s="17">
        <v>37</v>
      </c>
      <c r="B38" s="23" t="s">
        <v>86</v>
      </c>
      <c r="C38" s="10" t="s">
        <v>87</v>
      </c>
      <c r="D38" s="10" t="s">
        <v>350</v>
      </c>
      <c r="E38" s="9">
        <v>9876501223</v>
      </c>
      <c r="F38" s="11">
        <v>46202</v>
      </c>
      <c r="G38" s="12">
        <v>0.80600694444444443</v>
      </c>
      <c r="H38" s="12">
        <v>0.83</v>
      </c>
      <c r="I38" s="12" t="str">
        <f>TEXT(tblAttendance[[#This Row],[Date]],"mmm")</f>
        <v>Jun</v>
      </c>
      <c r="J38" s="12" t="str">
        <f>TEXT(tblAttendance[[#This Row],[Date]],"yyyy")</f>
        <v>2026</v>
      </c>
      <c r="K38" s="12" t="str">
        <f>TEXT(tblAttendance[[#This Row],[Date]],"dddd")</f>
        <v>Monday</v>
      </c>
      <c r="L38" s="29" t="str">
        <f>_xlfn.XLOOKUP(tblAttendance[[#This Row],[Student_ID]],tblStudents[Student_ID],tblStudents[Address])</f>
        <v>Parbhani, Maharashtra</v>
      </c>
    </row>
    <row r="39" spans="1:12" x14ac:dyDescent="0.3">
      <c r="A39" s="17">
        <v>38</v>
      </c>
      <c r="B39" s="23" t="s">
        <v>92</v>
      </c>
      <c r="C39" s="10" t="s">
        <v>93</v>
      </c>
      <c r="D39" s="10" t="s">
        <v>349</v>
      </c>
      <c r="E39" s="9">
        <v>9876501225</v>
      </c>
      <c r="F39" s="11">
        <v>46202</v>
      </c>
      <c r="G39" s="12">
        <v>0.80616898148148153</v>
      </c>
      <c r="H39" s="12">
        <v>0.83015046296296291</v>
      </c>
      <c r="I39" s="12" t="str">
        <f>TEXT(tblAttendance[[#This Row],[Date]],"mmm")</f>
        <v>Jun</v>
      </c>
      <c r="J39" s="12" t="str">
        <f>TEXT(tblAttendance[[#This Row],[Date]],"yyyy")</f>
        <v>2026</v>
      </c>
      <c r="K39" s="12" t="str">
        <f>TEXT(tblAttendance[[#This Row],[Date]],"dddd")</f>
        <v>Monday</v>
      </c>
      <c r="L39" s="29" t="str">
        <f>_xlfn.XLOOKUP(tblAttendance[[#This Row],[Student_ID]],tblStudents[Student_ID],tblStudents[Address])</f>
        <v>Wardha, Maharashtra</v>
      </c>
    </row>
    <row r="40" spans="1:12" x14ac:dyDescent="0.3">
      <c r="A40" s="17">
        <v>39</v>
      </c>
      <c r="B40" s="23" t="s">
        <v>95</v>
      </c>
      <c r="C40" s="10" t="s">
        <v>96</v>
      </c>
      <c r="D40" s="10" t="s">
        <v>344</v>
      </c>
      <c r="E40" s="9">
        <v>9876501226</v>
      </c>
      <c r="F40" s="11">
        <v>46202</v>
      </c>
      <c r="G40" s="12">
        <v>0.80623842592592587</v>
      </c>
      <c r="H40" s="12">
        <v>0.83020833333333333</v>
      </c>
      <c r="I40" s="12" t="str">
        <f>TEXT(tblAttendance[[#This Row],[Date]],"mmm")</f>
        <v>Jun</v>
      </c>
      <c r="J40" s="12" t="str">
        <f>TEXT(tblAttendance[[#This Row],[Date]],"yyyy")</f>
        <v>2026</v>
      </c>
      <c r="K40" s="12" t="str">
        <f>TEXT(tblAttendance[[#This Row],[Date]],"dddd")</f>
        <v>Monday</v>
      </c>
      <c r="L40" s="29" t="str">
        <f>_xlfn.XLOOKUP(tblAttendance[[#This Row],[Student_ID]],tblStudents[Student_ID],tblStudents[Address])</f>
        <v>Chandrapur, Maharashtra</v>
      </c>
    </row>
    <row r="41" spans="1:12" x14ac:dyDescent="0.3">
      <c r="A41" s="17">
        <v>40</v>
      </c>
      <c r="B41" s="23" t="s">
        <v>98</v>
      </c>
      <c r="C41" s="10" t="s">
        <v>99</v>
      </c>
      <c r="D41" s="10" t="s">
        <v>340</v>
      </c>
      <c r="E41" s="9">
        <v>9876501227</v>
      </c>
      <c r="F41" s="11">
        <v>46202</v>
      </c>
      <c r="G41" s="12">
        <v>0.80630787037037033</v>
      </c>
      <c r="H41" s="12">
        <v>0.83026620370370374</v>
      </c>
      <c r="I41" s="12" t="str">
        <f>TEXT(tblAttendance[[#This Row],[Date]],"mmm")</f>
        <v>Jun</v>
      </c>
      <c r="J41" s="12" t="str">
        <f>TEXT(tblAttendance[[#This Row],[Date]],"yyyy")</f>
        <v>2026</v>
      </c>
      <c r="K41" s="12" t="str">
        <f>TEXT(tblAttendance[[#This Row],[Date]],"dddd")</f>
        <v>Monday</v>
      </c>
      <c r="L41" s="29" t="str">
        <f>_xlfn.XLOOKUP(tblAttendance[[#This Row],[Student_ID]],tblStudents[Student_ID],tblStudents[Address])</f>
        <v>Ratnagiri, Maharashtra</v>
      </c>
    </row>
    <row r="42" spans="1:12" x14ac:dyDescent="0.3">
      <c r="A42" s="17">
        <v>41</v>
      </c>
      <c r="B42" s="23" t="s">
        <v>101</v>
      </c>
      <c r="C42" s="10" t="s">
        <v>102</v>
      </c>
      <c r="D42" s="10" t="s">
        <v>343</v>
      </c>
      <c r="E42" s="9">
        <v>9876501228</v>
      </c>
      <c r="F42" s="11">
        <v>46202</v>
      </c>
      <c r="G42" s="12">
        <v>0.80640046296296297</v>
      </c>
      <c r="H42" s="12">
        <v>0.83031250000000001</v>
      </c>
      <c r="I42" s="12" t="str">
        <f>TEXT(tblAttendance[[#This Row],[Date]],"mmm")</f>
        <v>Jun</v>
      </c>
      <c r="J42" s="12" t="str">
        <f>TEXT(tblAttendance[[#This Row],[Date]],"yyyy")</f>
        <v>2026</v>
      </c>
      <c r="K42" s="12" t="str">
        <f>TEXT(tblAttendance[[#This Row],[Date]],"dddd")</f>
        <v>Monday</v>
      </c>
      <c r="L42" s="29" t="str">
        <f>_xlfn.XLOOKUP(tblAttendance[[#This Row],[Student_ID]],tblStudents[Student_ID],tblStudents[Address])</f>
        <v>Sindhudurg, Maharashtra</v>
      </c>
    </row>
    <row r="43" spans="1:12" x14ac:dyDescent="0.3">
      <c r="A43" s="17">
        <v>42</v>
      </c>
      <c r="B43" s="23" t="s">
        <v>104</v>
      </c>
      <c r="C43" s="10" t="s">
        <v>105</v>
      </c>
      <c r="D43" s="10" t="s">
        <v>344</v>
      </c>
      <c r="E43" s="9">
        <v>9876501229</v>
      </c>
      <c r="F43" s="11">
        <v>46202</v>
      </c>
      <c r="G43" s="12">
        <v>0.80648148148148147</v>
      </c>
      <c r="H43" s="12">
        <v>0.8303935185185185</v>
      </c>
      <c r="I43" s="12" t="str">
        <f>TEXT(tblAttendance[[#This Row],[Date]],"mmm")</f>
        <v>Jun</v>
      </c>
      <c r="J43" s="12" t="str">
        <f>TEXT(tblAttendance[[#This Row],[Date]],"yyyy")</f>
        <v>2026</v>
      </c>
      <c r="K43" s="12" t="str">
        <f>TEXT(tblAttendance[[#This Row],[Date]],"dddd")</f>
        <v>Monday</v>
      </c>
      <c r="L43" s="29" t="str">
        <f>_xlfn.XLOOKUP(tblAttendance[[#This Row],[Student_ID]],tblStudents[Student_ID],tblStudents[Address])</f>
        <v>Hingoli, Maharashtra</v>
      </c>
    </row>
    <row r="44" spans="1:12" x14ac:dyDescent="0.3">
      <c r="A44" s="17">
        <v>43</v>
      </c>
      <c r="B44" s="23" t="s">
        <v>107</v>
      </c>
      <c r="C44" s="10" t="s">
        <v>108</v>
      </c>
      <c r="D44" s="10" t="s">
        <v>344</v>
      </c>
      <c r="E44" s="9">
        <v>9876501230</v>
      </c>
      <c r="F44" s="11">
        <v>46202</v>
      </c>
      <c r="G44" s="12">
        <v>0.80659722222222219</v>
      </c>
      <c r="H44" s="12">
        <v>0.83045138888888892</v>
      </c>
      <c r="I44" s="12" t="str">
        <f>TEXT(tblAttendance[[#This Row],[Date]],"mmm")</f>
        <v>Jun</v>
      </c>
      <c r="J44" s="12" t="str">
        <f>TEXT(tblAttendance[[#This Row],[Date]],"yyyy")</f>
        <v>2026</v>
      </c>
      <c r="K44" s="12" t="str">
        <f>TEXT(tblAttendance[[#This Row],[Date]],"dddd")</f>
        <v>Monday</v>
      </c>
      <c r="L44" s="29" t="str">
        <f>_xlfn.XLOOKUP(tblAttendance[[#This Row],[Student_ID]],tblStudents[Student_ID],tblStudents[Address])</f>
        <v>Washim, Maharashtra</v>
      </c>
    </row>
    <row r="45" spans="1:12" x14ac:dyDescent="0.3">
      <c r="A45" s="17">
        <v>44</v>
      </c>
      <c r="B45" s="23" t="s">
        <v>110</v>
      </c>
      <c r="C45" s="10" t="s">
        <v>111</v>
      </c>
      <c r="D45" s="10" t="s">
        <v>346</v>
      </c>
      <c r="E45" s="9">
        <v>9876501231</v>
      </c>
      <c r="F45" s="11">
        <v>46202</v>
      </c>
      <c r="G45" s="12">
        <v>0.80666666666666664</v>
      </c>
      <c r="H45" s="12">
        <v>0.83050925925925922</v>
      </c>
      <c r="I45" s="12" t="str">
        <f>TEXT(tblAttendance[[#This Row],[Date]],"mmm")</f>
        <v>Jun</v>
      </c>
      <c r="J45" s="12" t="str">
        <f>TEXT(tblAttendance[[#This Row],[Date]],"yyyy")</f>
        <v>2026</v>
      </c>
      <c r="K45" s="12" t="str">
        <f>TEXT(tblAttendance[[#This Row],[Date]],"dddd")</f>
        <v>Monday</v>
      </c>
      <c r="L45" s="29" t="str">
        <f>_xlfn.XLOOKUP(tblAttendance[[#This Row],[Student_ID]],tblStudents[Student_ID],tblStudents[Address])</f>
        <v>Buldhana, Maharashtra</v>
      </c>
    </row>
    <row r="46" spans="1:12" x14ac:dyDescent="0.3">
      <c r="A46" s="17">
        <v>45</v>
      </c>
      <c r="B46" s="23" t="s">
        <v>116</v>
      </c>
      <c r="C46" s="10" t="s">
        <v>117</v>
      </c>
      <c r="D46" s="10" t="s">
        <v>349</v>
      </c>
      <c r="E46" s="9">
        <v>9876501233</v>
      </c>
      <c r="F46" s="11">
        <v>46202</v>
      </c>
      <c r="G46" s="12">
        <v>0.80684027777777778</v>
      </c>
      <c r="H46" s="12">
        <v>0.83067129629629632</v>
      </c>
      <c r="I46" s="12" t="str">
        <f>TEXT(tblAttendance[[#This Row],[Date]],"mmm")</f>
        <v>Jun</v>
      </c>
      <c r="J46" s="12" t="str">
        <f>TEXT(tblAttendance[[#This Row],[Date]],"yyyy")</f>
        <v>2026</v>
      </c>
      <c r="K46" s="12" t="str">
        <f>TEXT(tblAttendance[[#This Row],[Date]],"dddd")</f>
        <v>Monday</v>
      </c>
      <c r="L46" s="29" t="str">
        <f>_xlfn.XLOOKUP(tblAttendance[[#This Row],[Student_ID]],tblStudents[Student_ID],tblStudents[Address])</f>
        <v>Gondia, Maharashtra</v>
      </c>
    </row>
    <row r="47" spans="1:12" x14ac:dyDescent="0.3">
      <c r="A47" s="17">
        <v>46</v>
      </c>
      <c r="B47" s="23" t="s">
        <v>119</v>
      </c>
      <c r="C47" s="10" t="s">
        <v>120</v>
      </c>
      <c r="D47" s="10" t="s">
        <v>342</v>
      </c>
      <c r="E47" s="9">
        <v>9876501234</v>
      </c>
      <c r="F47" s="11">
        <v>46202</v>
      </c>
      <c r="G47" s="12">
        <v>0.80696759259259254</v>
      </c>
      <c r="H47" s="12">
        <v>0.83074074074074078</v>
      </c>
      <c r="I47" s="12" t="str">
        <f>TEXT(tblAttendance[[#This Row],[Date]],"mmm")</f>
        <v>Jun</v>
      </c>
      <c r="J47" s="12" t="str">
        <f>TEXT(tblAttendance[[#This Row],[Date]],"yyyy")</f>
        <v>2026</v>
      </c>
      <c r="K47" s="12" t="str">
        <f>TEXT(tblAttendance[[#This Row],[Date]],"dddd")</f>
        <v>Monday</v>
      </c>
      <c r="L47" s="29" t="str">
        <f>_xlfn.XLOOKUP(tblAttendance[[#This Row],[Student_ID]],tblStudents[Student_ID],tblStudents[Address])</f>
        <v>Gadchiroli, Maharashtra</v>
      </c>
    </row>
    <row r="48" spans="1:12" x14ac:dyDescent="0.3">
      <c r="A48" s="17">
        <v>47</v>
      </c>
      <c r="B48" s="23" t="s">
        <v>122</v>
      </c>
      <c r="C48" s="10" t="s">
        <v>123</v>
      </c>
      <c r="D48" s="10" t="s">
        <v>340</v>
      </c>
      <c r="E48" s="9">
        <v>9876501235</v>
      </c>
      <c r="F48" s="11">
        <v>46202</v>
      </c>
      <c r="G48" s="12">
        <v>0.80710648148148145</v>
      </c>
      <c r="H48" s="12">
        <v>0.83079861111111108</v>
      </c>
      <c r="I48" s="12" t="str">
        <f>TEXT(tblAttendance[[#This Row],[Date]],"mmm")</f>
        <v>Jun</v>
      </c>
      <c r="J48" s="12" t="str">
        <f>TEXT(tblAttendance[[#This Row],[Date]],"yyyy")</f>
        <v>2026</v>
      </c>
      <c r="K48" s="12" t="str">
        <f>TEXT(tblAttendance[[#This Row],[Date]],"dddd")</f>
        <v>Monday</v>
      </c>
      <c r="L48" s="29" t="str">
        <f>_xlfn.XLOOKUP(tblAttendance[[#This Row],[Student_ID]],tblStudents[Student_ID],tblStudents[Address])</f>
        <v>Dhule, Maharashtra</v>
      </c>
    </row>
    <row r="49" spans="1:12" x14ac:dyDescent="0.3">
      <c r="A49" s="17">
        <v>48</v>
      </c>
      <c r="B49" s="23" t="s">
        <v>127</v>
      </c>
      <c r="C49" s="10" t="s">
        <v>128</v>
      </c>
      <c r="D49" s="10" t="s">
        <v>342</v>
      </c>
      <c r="E49" s="9">
        <v>9876501237</v>
      </c>
      <c r="F49" s="11">
        <v>46202</v>
      </c>
      <c r="G49" s="12">
        <v>0.80726851851851855</v>
      </c>
      <c r="H49" s="12">
        <v>0.8308564814814815</v>
      </c>
      <c r="I49" s="12" t="str">
        <f>TEXT(tblAttendance[[#This Row],[Date]],"mmm")</f>
        <v>Jun</v>
      </c>
      <c r="J49" s="12" t="str">
        <f>TEXT(tblAttendance[[#This Row],[Date]],"yyyy")</f>
        <v>2026</v>
      </c>
      <c r="K49" s="12" t="str">
        <f>TEXT(tblAttendance[[#This Row],[Date]],"dddd")</f>
        <v>Monday</v>
      </c>
      <c r="L49" s="29" t="str">
        <f>_xlfn.XLOOKUP(tblAttendance[[#This Row],[Student_ID]],tblStudents[Student_ID],tblStudents[Address])</f>
        <v>Pune, Maharashtra</v>
      </c>
    </row>
    <row r="50" spans="1:12" x14ac:dyDescent="0.3">
      <c r="A50" s="17">
        <v>49</v>
      </c>
      <c r="B50" s="23" t="s">
        <v>129</v>
      </c>
      <c r="C50" s="10" t="s">
        <v>130</v>
      </c>
      <c r="D50" s="10" t="s">
        <v>343</v>
      </c>
      <c r="E50" s="9">
        <v>9876501238</v>
      </c>
      <c r="F50" s="11">
        <v>46202</v>
      </c>
      <c r="G50" s="12">
        <v>0.80733796296296301</v>
      </c>
      <c r="H50" s="12">
        <v>0.8309375</v>
      </c>
      <c r="I50" s="12" t="str">
        <f>TEXT(tblAttendance[[#This Row],[Date]],"mmm")</f>
        <v>Jun</v>
      </c>
      <c r="J50" s="12" t="str">
        <f>TEXT(tblAttendance[[#This Row],[Date]],"yyyy")</f>
        <v>2026</v>
      </c>
      <c r="K50" s="12" t="str">
        <f>TEXT(tblAttendance[[#This Row],[Date]],"dddd")</f>
        <v>Monday</v>
      </c>
      <c r="L50" s="29" t="str">
        <f>_xlfn.XLOOKUP(tblAttendance[[#This Row],[Student_ID]],tblStudents[Student_ID],tblStudents[Address])</f>
        <v>Ahilya Nagar, Maharashtra, Maharashtra</v>
      </c>
    </row>
    <row r="51" spans="1:12" x14ac:dyDescent="0.3">
      <c r="A51" s="17">
        <v>50</v>
      </c>
      <c r="B51" s="23" t="s">
        <v>132</v>
      </c>
      <c r="C51" s="10" t="s">
        <v>133</v>
      </c>
      <c r="D51" s="10" t="s">
        <v>344</v>
      </c>
      <c r="E51" s="9">
        <v>9876501239</v>
      </c>
      <c r="F51" s="11">
        <v>46202</v>
      </c>
      <c r="G51" s="12">
        <v>0.80739583333333331</v>
      </c>
      <c r="H51" s="12">
        <v>0.83101851851851849</v>
      </c>
      <c r="I51" s="12" t="str">
        <f>TEXT(tblAttendance[[#This Row],[Date]],"mmm")</f>
        <v>Jun</v>
      </c>
      <c r="J51" s="12" t="str">
        <f>TEXT(tblAttendance[[#This Row],[Date]],"yyyy")</f>
        <v>2026</v>
      </c>
      <c r="K51" s="12" t="str">
        <f>TEXT(tblAttendance[[#This Row],[Date]],"dddd")</f>
        <v>Monday</v>
      </c>
      <c r="L51" s="29" t="str">
        <f>_xlfn.XLOOKUP(tblAttendance[[#This Row],[Student_ID]],tblStudents[Student_ID],tblStudents[Address])</f>
        <v>Chhatrapati Sambhajinagar, Maharashtra</v>
      </c>
    </row>
    <row r="52" spans="1:12" x14ac:dyDescent="0.3">
      <c r="A52" s="17">
        <v>51</v>
      </c>
      <c r="B52" s="23" t="s">
        <v>134</v>
      </c>
      <c r="C52" s="10" t="s">
        <v>135</v>
      </c>
      <c r="D52" s="10" t="s">
        <v>340</v>
      </c>
      <c r="E52" s="9">
        <v>9876501240</v>
      </c>
      <c r="F52" s="11">
        <v>46202</v>
      </c>
      <c r="G52" s="12">
        <v>0.80747685185185181</v>
      </c>
      <c r="H52" s="12">
        <v>0.83106481481481487</v>
      </c>
      <c r="I52" s="12" t="str">
        <f>TEXT(tblAttendance[[#This Row],[Date]],"mmm")</f>
        <v>Jun</v>
      </c>
      <c r="J52" s="12" t="str">
        <f>TEXT(tblAttendance[[#This Row],[Date]],"yyyy")</f>
        <v>2026</v>
      </c>
      <c r="K52" s="12" t="str">
        <f>TEXT(tblAttendance[[#This Row],[Date]],"dddd")</f>
        <v>Monday</v>
      </c>
      <c r="L52" s="29" t="str">
        <f>_xlfn.XLOOKUP(tblAttendance[[#This Row],[Student_ID]],tblStudents[Student_ID],tblStudents[Address])</f>
        <v>Pune, Maharashtra</v>
      </c>
    </row>
    <row r="53" spans="1:12" x14ac:dyDescent="0.3">
      <c r="A53" s="17">
        <v>52</v>
      </c>
      <c r="B53" s="23" t="s">
        <v>138</v>
      </c>
      <c r="C53" s="10" t="s">
        <v>139</v>
      </c>
      <c r="D53" s="10" t="s">
        <v>343</v>
      </c>
      <c r="E53" s="9">
        <v>9876501242</v>
      </c>
      <c r="F53" s="11">
        <v>46202</v>
      </c>
      <c r="G53" s="12">
        <v>0.80761574074074072</v>
      </c>
      <c r="H53" s="12">
        <v>0.83116898148148144</v>
      </c>
      <c r="I53" s="12" t="str">
        <f>TEXT(tblAttendance[[#This Row],[Date]],"mmm")</f>
        <v>Jun</v>
      </c>
      <c r="J53" s="12" t="str">
        <f>TEXT(tblAttendance[[#This Row],[Date]],"yyyy")</f>
        <v>2026</v>
      </c>
      <c r="K53" s="12" t="str">
        <f>TEXT(tblAttendance[[#This Row],[Date]],"dddd")</f>
        <v>Monday</v>
      </c>
      <c r="L53" s="29" t="str">
        <f>_xlfn.XLOOKUP(tblAttendance[[#This Row],[Student_ID]],tblStudents[Student_ID],tblStudents[Address])</f>
        <v>Ahilya Nagar, Maharashtra, Maharashtra</v>
      </c>
    </row>
    <row r="54" spans="1:12" x14ac:dyDescent="0.3">
      <c r="A54" s="17">
        <v>53</v>
      </c>
      <c r="B54" s="23" t="s">
        <v>140</v>
      </c>
      <c r="C54" s="10" t="s">
        <v>141</v>
      </c>
      <c r="D54" s="10" t="s">
        <v>348</v>
      </c>
      <c r="E54" s="9">
        <v>9876501243</v>
      </c>
      <c r="F54" s="11">
        <v>46202</v>
      </c>
      <c r="G54" s="12">
        <v>0.80768518518518517</v>
      </c>
      <c r="H54" s="12">
        <v>0.83122685185185186</v>
      </c>
      <c r="I54" s="12" t="str">
        <f>TEXT(tblAttendance[[#This Row],[Date]],"mmm")</f>
        <v>Jun</v>
      </c>
      <c r="J54" s="12" t="str">
        <f>TEXT(tblAttendance[[#This Row],[Date]],"yyyy")</f>
        <v>2026</v>
      </c>
      <c r="K54" s="12" t="str">
        <f>TEXT(tblAttendance[[#This Row],[Date]],"dddd")</f>
        <v>Monday</v>
      </c>
      <c r="L54" s="29" t="str">
        <f>_xlfn.XLOOKUP(tblAttendance[[#This Row],[Student_ID]],tblStudents[Student_ID],tblStudents[Address])</f>
        <v>Chhatrapati Sambhajinagar, Maharashtra</v>
      </c>
    </row>
    <row r="55" spans="1:12" x14ac:dyDescent="0.3">
      <c r="A55" s="17">
        <v>54</v>
      </c>
      <c r="B55" s="23" t="s">
        <v>142</v>
      </c>
      <c r="C55" s="10" t="s">
        <v>143</v>
      </c>
      <c r="D55" s="10" t="s">
        <v>347</v>
      </c>
      <c r="E55" s="9">
        <v>9876501244</v>
      </c>
      <c r="F55" s="11">
        <v>46202</v>
      </c>
      <c r="G55" s="12">
        <v>0.80778935185185186</v>
      </c>
      <c r="H55" s="12">
        <v>0.83127314814814812</v>
      </c>
      <c r="I55" s="12" t="str">
        <f>TEXT(tblAttendance[[#This Row],[Date]],"mmm")</f>
        <v>Jun</v>
      </c>
      <c r="J55" s="12" t="str">
        <f>TEXT(tblAttendance[[#This Row],[Date]],"yyyy")</f>
        <v>2026</v>
      </c>
      <c r="K55" s="12" t="str">
        <f>TEXT(tblAttendance[[#This Row],[Date]],"dddd")</f>
        <v>Monday</v>
      </c>
      <c r="L55" s="29" t="str">
        <f>_xlfn.XLOOKUP(tblAttendance[[#This Row],[Student_ID]],tblStudents[Student_ID],tblStudents[Address])</f>
        <v>Pune, Maharashtra</v>
      </c>
    </row>
    <row r="56" spans="1:12" x14ac:dyDescent="0.3">
      <c r="A56" s="17">
        <v>55</v>
      </c>
      <c r="B56" s="23" t="s">
        <v>144</v>
      </c>
      <c r="C56" s="10" t="s">
        <v>145</v>
      </c>
      <c r="D56" s="10" t="s">
        <v>343</v>
      </c>
      <c r="E56" s="9">
        <v>9876501245</v>
      </c>
      <c r="F56" s="11">
        <v>46202</v>
      </c>
      <c r="G56" s="12">
        <v>0.80790509259259258</v>
      </c>
      <c r="H56" s="12">
        <v>0.83133101851851854</v>
      </c>
      <c r="I56" s="12" t="str">
        <f>TEXT(tblAttendance[[#This Row],[Date]],"mmm")</f>
        <v>Jun</v>
      </c>
      <c r="J56" s="12" t="str">
        <f>TEXT(tblAttendance[[#This Row],[Date]],"yyyy")</f>
        <v>2026</v>
      </c>
      <c r="K56" s="12" t="str">
        <f>TEXT(tblAttendance[[#This Row],[Date]],"dddd")</f>
        <v>Monday</v>
      </c>
      <c r="L56" s="29" t="str">
        <f>_xlfn.XLOOKUP(tblAttendance[[#This Row],[Student_ID]],tblStudents[Student_ID],tblStudents[Address])</f>
        <v>Pune, Maharashtra</v>
      </c>
    </row>
    <row r="57" spans="1:12" x14ac:dyDescent="0.3">
      <c r="A57" s="17">
        <v>56</v>
      </c>
      <c r="B57" s="23" t="s">
        <v>146</v>
      </c>
      <c r="C57" s="10" t="s">
        <v>147</v>
      </c>
      <c r="D57" s="10" t="s">
        <v>344</v>
      </c>
      <c r="E57" s="9">
        <v>9876501246</v>
      </c>
      <c r="F57" s="11">
        <v>46202</v>
      </c>
      <c r="G57" s="12">
        <v>0.80800925925925926</v>
      </c>
      <c r="H57" s="12">
        <v>0.83138888888888884</v>
      </c>
      <c r="I57" s="12" t="str">
        <f>TEXT(tblAttendance[[#This Row],[Date]],"mmm")</f>
        <v>Jun</v>
      </c>
      <c r="J57" s="12" t="str">
        <f>TEXT(tblAttendance[[#This Row],[Date]],"yyyy")</f>
        <v>2026</v>
      </c>
      <c r="K57" s="12" t="str">
        <f>TEXT(tblAttendance[[#This Row],[Date]],"dddd")</f>
        <v>Monday</v>
      </c>
      <c r="L57" s="29" t="str">
        <f>_xlfn.XLOOKUP(tblAttendance[[#This Row],[Student_ID]],tblStudents[Student_ID],tblStudents[Address])</f>
        <v>Ahilya Nagar, Maharashtra, Maharashtra</v>
      </c>
    </row>
    <row r="58" spans="1:12" x14ac:dyDescent="0.3">
      <c r="A58" s="17">
        <v>57</v>
      </c>
      <c r="B58" s="23" t="s">
        <v>148</v>
      </c>
      <c r="C58" s="10" t="s">
        <v>149</v>
      </c>
      <c r="D58" s="10" t="s">
        <v>347</v>
      </c>
      <c r="E58" s="9">
        <v>9876501247</v>
      </c>
      <c r="F58" s="11">
        <v>46202</v>
      </c>
      <c r="G58" s="12">
        <v>0.80809027777777775</v>
      </c>
      <c r="H58" s="12">
        <v>0.83144675925925926</v>
      </c>
      <c r="I58" s="12" t="str">
        <f>TEXT(tblAttendance[[#This Row],[Date]],"mmm")</f>
        <v>Jun</v>
      </c>
      <c r="J58" s="12" t="str">
        <f>TEXT(tblAttendance[[#This Row],[Date]],"yyyy")</f>
        <v>2026</v>
      </c>
      <c r="K58" s="12" t="str">
        <f>TEXT(tblAttendance[[#This Row],[Date]],"dddd")</f>
        <v>Monday</v>
      </c>
      <c r="L58" s="29" t="str">
        <f>_xlfn.XLOOKUP(tblAttendance[[#This Row],[Student_ID]],tblStudents[Student_ID],tblStudents[Address])</f>
        <v>Chhatrapati Sambhajinagar, Maharashtra</v>
      </c>
    </row>
    <row r="59" spans="1:12" x14ac:dyDescent="0.3">
      <c r="A59" s="17">
        <v>58</v>
      </c>
      <c r="B59" s="23" t="s">
        <v>150</v>
      </c>
      <c r="C59" s="10" t="s">
        <v>151</v>
      </c>
      <c r="D59" s="10" t="s">
        <v>343</v>
      </c>
      <c r="E59" s="9">
        <v>9876501248</v>
      </c>
      <c r="F59" s="11">
        <v>46202</v>
      </c>
      <c r="G59" s="12">
        <v>0.80814814814814817</v>
      </c>
      <c r="H59" s="12">
        <v>0.83149305555555553</v>
      </c>
      <c r="I59" s="12" t="str">
        <f>TEXT(tblAttendance[[#This Row],[Date]],"mmm")</f>
        <v>Jun</v>
      </c>
      <c r="J59" s="12" t="str">
        <f>TEXT(tblAttendance[[#This Row],[Date]],"yyyy")</f>
        <v>2026</v>
      </c>
      <c r="K59" s="12" t="str">
        <f>TEXT(tblAttendance[[#This Row],[Date]],"dddd")</f>
        <v>Monday</v>
      </c>
      <c r="L59" s="29" t="str">
        <f>_xlfn.XLOOKUP(tblAttendance[[#This Row],[Student_ID]],tblStudents[Student_ID],tblStudents[Address])</f>
        <v>Pune, Maharashtra</v>
      </c>
    </row>
    <row r="60" spans="1:12" x14ac:dyDescent="0.3">
      <c r="A60" s="17">
        <v>59</v>
      </c>
      <c r="B60" s="23" t="s">
        <v>152</v>
      </c>
      <c r="C60" s="10" t="s">
        <v>153</v>
      </c>
      <c r="D60" s="10" t="s">
        <v>341</v>
      </c>
      <c r="E60" s="9">
        <v>9876501249</v>
      </c>
      <c r="F60" s="11">
        <v>46202</v>
      </c>
      <c r="G60" s="12">
        <v>0.80821759259259263</v>
      </c>
      <c r="H60" s="12">
        <v>0.83157407407407402</v>
      </c>
      <c r="I60" s="12" t="str">
        <f>TEXT(tblAttendance[[#This Row],[Date]],"mmm")</f>
        <v>Jun</v>
      </c>
      <c r="J60" s="12" t="str">
        <f>TEXT(tblAttendance[[#This Row],[Date]],"yyyy")</f>
        <v>2026</v>
      </c>
      <c r="K60" s="12" t="str">
        <f>TEXT(tblAttendance[[#This Row],[Date]],"dddd")</f>
        <v>Monday</v>
      </c>
      <c r="L60" s="29" t="str">
        <f>_xlfn.XLOOKUP(tblAttendance[[#This Row],[Student_ID]],tblStudents[Student_ID],tblStudents[Address])</f>
        <v>Pune, Maharashtra</v>
      </c>
    </row>
    <row r="61" spans="1:12" x14ac:dyDescent="0.3">
      <c r="A61" s="17">
        <v>60</v>
      </c>
      <c r="B61" s="23" t="s">
        <v>154</v>
      </c>
      <c r="C61" s="10" t="s">
        <v>155</v>
      </c>
      <c r="D61" s="10" t="s">
        <v>340</v>
      </c>
      <c r="E61" s="9">
        <v>9876501250</v>
      </c>
      <c r="F61" s="11">
        <v>46202</v>
      </c>
      <c r="G61" s="12">
        <v>0.80839120370370365</v>
      </c>
      <c r="H61" s="12">
        <v>0.83165509259259263</v>
      </c>
      <c r="I61" s="12" t="str">
        <f>TEXT(tblAttendance[[#This Row],[Date]],"mmm")</f>
        <v>Jun</v>
      </c>
      <c r="J61" s="12" t="str">
        <f>TEXT(tblAttendance[[#This Row],[Date]],"yyyy")</f>
        <v>2026</v>
      </c>
      <c r="K61" s="12" t="str">
        <f>TEXT(tblAttendance[[#This Row],[Date]],"dddd")</f>
        <v>Monday</v>
      </c>
      <c r="L61" s="29" t="str">
        <f>_xlfn.XLOOKUP(tblAttendance[[#This Row],[Student_ID]],tblStudents[Student_ID],tblStudents[Address])</f>
        <v>Ahilya Nagar, Maharashtra, Maharashtra</v>
      </c>
    </row>
    <row r="62" spans="1:12" x14ac:dyDescent="0.3">
      <c r="A62" s="17">
        <v>61</v>
      </c>
      <c r="B62" s="23" t="s">
        <v>156</v>
      </c>
      <c r="C62" s="10" t="s">
        <v>157</v>
      </c>
      <c r="D62" s="10" t="s">
        <v>340</v>
      </c>
      <c r="E62" s="9">
        <v>9876501251</v>
      </c>
      <c r="F62" s="11">
        <v>46202</v>
      </c>
      <c r="G62" s="12">
        <v>0.80851851851851853</v>
      </c>
      <c r="H62" s="12">
        <v>0.83170138888888889</v>
      </c>
      <c r="I62" s="12" t="str">
        <f>TEXT(tblAttendance[[#This Row],[Date]],"mmm")</f>
        <v>Jun</v>
      </c>
      <c r="J62" s="12" t="str">
        <f>TEXT(tblAttendance[[#This Row],[Date]],"yyyy")</f>
        <v>2026</v>
      </c>
      <c r="K62" s="12" t="str">
        <f>TEXT(tblAttendance[[#This Row],[Date]],"dddd")</f>
        <v>Monday</v>
      </c>
      <c r="L62" s="29" t="str">
        <f>_xlfn.XLOOKUP(tblAttendance[[#This Row],[Student_ID]],tblStudents[Student_ID],tblStudents[Address])</f>
        <v>Chhatrapati Sambhajinagar, Maharashtra</v>
      </c>
    </row>
    <row r="63" spans="1:12" x14ac:dyDescent="0.3">
      <c r="A63" s="17">
        <v>62</v>
      </c>
      <c r="B63" s="23" t="s">
        <v>158</v>
      </c>
      <c r="C63" s="10" t="s">
        <v>159</v>
      </c>
      <c r="D63" s="10" t="s">
        <v>341</v>
      </c>
      <c r="E63" s="9">
        <v>9876501252</v>
      </c>
      <c r="F63" s="11">
        <v>46202</v>
      </c>
      <c r="G63" s="12">
        <v>0.80859953703703702</v>
      </c>
      <c r="H63" s="12">
        <v>0.83177083333333335</v>
      </c>
      <c r="I63" s="12" t="str">
        <f>TEXT(tblAttendance[[#This Row],[Date]],"mmm")</f>
        <v>Jun</v>
      </c>
      <c r="J63" s="12" t="str">
        <f>TEXT(tblAttendance[[#This Row],[Date]],"yyyy")</f>
        <v>2026</v>
      </c>
      <c r="K63" s="12" t="str">
        <f>TEXT(tblAttendance[[#This Row],[Date]],"dddd")</f>
        <v>Monday</v>
      </c>
      <c r="L63" s="29" t="str">
        <f>_xlfn.XLOOKUP(tblAttendance[[#This Row],[Student_ID]],tblStudents[Student_ID],tblStudents[Address])</f>
        <v>Pune, Maharashtra</v>
      </c>
    </row>
    <row r="64" spans="1:12" x14ac:dyDescent="0.3">
      <c r="A64" s="17">
        <v>63</v>
      </c>
      <c r="B64" s="23" t="s">
        <v>160</v>
      </c>
      <c r="C64" s="10" t="s">
        <v>161</v>
      </c>
      <c r="D64" s="10" t="s">
        <v>347</v>
      </c>
      <c r="E64" s="9">
        <v>9876501253</v>
      </c>
      <c r="F64" s="11">
        <v>46202</v>
      </c>
      <c r="G64" s="12">
        <v>0.80869212962962966</v>
      </c>
      <c r="H64" s="12">
        <v>0.83182870370370365</v>
      </c>
      <c r="I64" s="12" t="str">
        <f>TEXT(tblAttendance[[#This Row],[Date]],"mmm")</f>
        <v>Jun</v>
      </c>
      <c r="J64" s="12" t="str">
        <f>TEXT(tblAttendance[[#This Row],[Date]],"yyyy")</f>
        <v>2026</v>
      </c>
      <c r="K64" s="12" t="str">
        <f>TEXT(tblAttendance[[#This Row],[Date]],"dddd")</f>
        <v>Monday</v>
      </c>
      <c r="L64" s="29" t="str">
        <f>_xlfn.XLOOKUP(tblAttendance[[#This Row],[Student_ID]],tblStudents[Student_ID],tblStudents[Address])</f>
        <v>Pune, Maharashtra</v>
      </c>
    </row>
    <row r="65" spans="1:12" x14ac:dyDescent="0.3">
      <c r="A65" s="17">
        <v>64</v>
      </c>
      <c r="B65" s="23" t="s">
        <v>164</v>
      </c>
      <c r="C65" s="10" t="s">
        <v>165</v>
      </c>
      <c r="D65" s="10" t="s">
        <v>343</v>
      </c>
      <c r="E65" s="9">
        <v>9876501255</v>
      </c>
      <c r="F65" s="11">
        <v>46202</v>
      </c>
      <c r="G65" s="12">
        <v>0.80890046296296292</v>
      </c>
      <c r="H65" s="12">
        <v>0.83197916666666671</v>
      </c>
      <c r="I65" s="12" t="str">
        <f>TEXT(tblAttendance[[#This Row],[Date]],"mmm")</f>
        <v>Jun</v>
      </c>
      <c r="J65" s="12" t="str">
        <f>TEXT(tblAttendance[[#This Row],[Date]],"yyyy")</f>
        <v>2026</v>
      </c>
      <c r="K65" s="12" t="str">
        <f>TEXT(tblAttendance[[#This Row],[Date]],"dddd")</f>
        <v>Monday</v>
      </c>
      <c r="L65" s="29" t="str">
        <f>_xlfn.XLOOKUP(tblAttendance[[#This Row],[Student_ID]],tblStudents[Student_ID],tblStudents[Address])</f>
        <v>Chhatrapati Sambhajinagar, Maharashtra</v>
      </c>
    </row>
    <row r="66" spans="1:12" x14ac:dyDescent="0.3">
      <c r="A66" s="17">
        <v>65</v>
      </c>
      <c r="B66" s="23" t="s">
        <v>170</v>
      </c>
      <c r="C66" s="10" t="s">
        <v>171</v>
      </c>
      <c r="D66" s="10" t="s">
        <v>346</v>
      </c>
      <c r="E66" s="9">
        <v>9876501258</v>
      </c>
      <c r="F66" s="11">
        <v>46202</v>
      </c>
      <c r="G66" s="12">
        <v>0.80912037037037032</v>
      </c>
      <c r="H66" s="12">
        <v>0.83221064814814816</v>
      </c>
      <c r="I66" s="12" t="str">
        <f>TEXT(tblAttendance[[#This Row],[Date]],"mmm")</f>
        <v>Jun</v>
      </c>
      <c r="J66" s="12" t="str">
        <f>TEXT(tblAttendance[[#This Row],[Date]],"yyyy")</f>
        <v>2026</v>
      </c>
      <c r="K66" s="12" t="str">
        <f>TEXT(tblAttendance[[#This Row],[Date]],"dddd")</f>
        <v>Monday</v>
      </c>
      <c r="L66" s="29" t="str">
        <f>_xlfn.XLOOKUP(tblAttendance[[#This Row],[Student_ID]],tblStudents[Student_ID],tblStudents[Address])</f>
        <v>Ahilya Nagar, Maharashtra, Maharashtra</v>
      </c>
    </row>
    <row r="67" spans="1:12" x14ac:dyDescent="0.3">
      <c r="A67" s="17">
        <v>66</v>
      </c>
      <c r="B67" s="23" t="s">
        <v>174</v>
      </c>
      <c r="C67" s="10" t="s">
        <v>175</v>
      </c>
      <c r="D67" s="10" t="s">
        <v>344</v>
      </c>
      <c r="E67" s="9">
        <v>9876501260</v>
      </c>
      <c r="F67" s="11">
        <v>46202</v>
      </c>
      <c r="G67" s="12">
        <v>0.80937499999999996</v>
      </c>
      <c r="H67" s="12">
        <v>0.83233796296296292</v>
      </c>
      <c r="I67" s="12" t="str">
        <f>TEXT(tblAttendance[[#This Row],[Date]],"mmm")</f>
        <v>Jun</v>
      </c>
      <c r="J67" s="12" t="str">
        <f>TEXT(tblAttendance[[#This Row],[Date]],"yyyy")</f>
        <v>2026</v>
      </c>
      <c r="K67" s="12" t="str">
        <f>TEXT(tblAttendance[[#This Row],[Date]],"dddd")</f>
        <v>Monday</v>
      </c>
      <c r="L67" s="29" t="str">
        <f>_xlfn.XLOOKUP(tblAttendance[[#This Row],[Student_ID]],tblStudents[Student_ID],tblStudents[Address])</f>
        <v>Pune, Maharashtra</v>
      </c>
    </row>
    <row r="68" spans="1:12" x14ac:dyDescent="0.3">
      <c r="A68" s="17">
        <v>67</v>
      </c>
      <c r="B68" s="23" t="s">
        <v>176</v>
      </c>
      <c r="C68" s="10" t="s">
        <v>177</v>
      </c>
      <c r="D68" s="10" t="s">
        <v>347</v>
      </c>
      <c r="E68" s="9">
        <v>9876501261</v>
      </c>
      <c r="F68" s="11">
        <v>46202</v>
      </c>
      <c r="G68" s="12">
        <v>0.80944444444444441</v>
      </c>
      <c r="H68" s="12">
        <v>0.83245370370370375</v>
      </c>
      <c r="I68" s="12" t="str">
        <f>TEXT(tblAttendance[[#This Row],[Date]],"mmm")</f>
        <v>Jun</v>
      </c>
      <c r="J68" s="12" t="str">
        <f>TEXT(tblAttendance[[#This Row],[Date]],"yyyy")</f>
        <v>2026</v>
      </c>
      <c r="K68" s="12" t="str">
        <f>TEXT(tblAttendance[[#This Row],[Date]],"dddd")</f>
        <v>Monday</v>
      </c>
      <c r="L68" s="29" t="str">
        <f>_xlfn.XLOOKUP(tblAttendance[[#This Row],[Student_ID]],tblStudents[Student_ID],tblStudents[Address])</f>
        <v>Pune, Maharashtra</v>
      </c>
    </row>
    <row r="69" spans="1:12" x14ac:dyDescent="0.3">
      <c r="A69" s="17">
        <v>68</v>
      </c>
      <c r="B69" s="23" t="s">
        <v>178</v>
      </c>
      <c r="C69" s="10" t="s">
        <v>179</v>
      </c>
      <c r="D69" s="10" t="s">
        <v>341</v>
      </c>
      <c r="E69" s="9">
        <v>9876501262</v>
      </c>
      <c r="F69" s="11">
        <v>46202</v>
      </c>
      <c r="G69" s="12">
        <v>0.80950231481481483</v>
      </c>
      <c r="H69" s="12">
        <v>0.83251157407407406</v>
      </c>
      <c r="I69" s="12" t="str">
        <f>TEXT(tblAttendance[[#This Row],[Date]],"mmm")</f>
        <v>Jun</v>
      </c>
      <c r="J69" s="12" t="str">
        <f>TEXT(tblAttendance[[#This Row],[Date]],"yyyy")</f>
        <v>2026</v>
      </c>
      <c r="K69" s="12" t="str">
        <f>TEXT(tblAttendance[[#This Row],[Date]],"dddd")</f>
        <v>Monday</v>
      </c>
      <c r="L69" s="29" t="str">
        <f>_xlfn.XLOOKUP(tblAttendance[[#This Row],[Student_ID]],tblStudents[Student_ID],tblStudents[Address])</f>
        <v>Ahilya Nagar, Maharashtra, Maharashtra</v>
      </c>
    </row>
    <row r="70" spans="1:12" x14ac:dyDescent="0.3">
      <c r="A70" s="17">
        <v>69</v>
      </c>
      <c r="B70" s="23" t="s">
        <v>180</v>
      </c>
      <c r="C70" s="10" t="s">
        <v>181</v>
      </c>
      <c r="D70" s="10" t="s">
        <v>343</v>
      </c>
      <c r="E70" s="9">
        <v>9876501263</v>
      </c>
      <c r="F70" s="11">
        <v>46202</v>
      </c>
      <c r="G70" s="12">
        <v>0.80958333333333332</v>
      </c>
      <c r="H70" s="12">
        <v>0.83255787037037032</v>
      </c>
      <c r="I70" s="12" t="str">
        <f>TEXT(tblAttendance[[#This Row],[Date]],"mmm")</f>
        <v>Jun</v>
      </c>
      <c r="J70" s="12" t="str">
        <f>TEXT(tblAttendance[[#This Row],[Date]],"yyyy")</f>
        <v>2026</v>
      </c>
      <c r="K70" s="12" t="str">
        <f>TEXT(tblAttendance[[#This Row],[Date]],"dddd")</f>
        <v>Monday</v>
      </c>
      <c r="L70" s="29" t="str">
        <f>_xlfn.XLOOKUP(tblAttendance[[#This Row],[Student_ID]],tblStudents[Student_ID],tblStudents[Address])</f>
        <v>Chhatrapati Sambhajinagar, Maharashtra</v>
      </c>
    </row>
    <row r="71" spans="1:12" x14ac:dyDescent="0.3">
      <c r="A71" s="17">
        <v>70</v>
      </c>
      <c r="B71" s="23" t="s">
        <v>182</v>
      </c>
      <c r="C71" s="10" t="s">
        <v>183</v>
      </c>
      <c r="D71" s="10" t="s">
        <v>344</v>
      </c>
      <c r="E71" s="9">
        <v>9876501264</v>
      </c>
      <c r="F71" s="11">
        <v>46202</v>
      </c>
      <c r="G71" s="12">
        <v>0.80964120370370374</v>
      </c>
      <c r="H71" s="12">
        <v>0.83261574074074074</v>
      </c>
      <c r="I71" s="12" t="str">
        <f>TEXT(tblAttendance[[#This Row],[Date]],"mmm")</f>
        <v>Jun</v>
      </c>
      <c r="J71" s="12" t="str">
        <f>TEXT(tblAttendance[[#This Row],[Date]],"yyyy")</f>
        <v>2026</v>
      </c>
      <c r="K71" s="12" t="str">
        <f>TEXT(tblAttendance[[#This Row],[Date]],"dddd")</f>
        <v>Monday</v>
      </c>
      <c r="L71" s="29" t="str">
        <f>_xlfn.XLOOKUP(tblAttendance[[#This Row],[Student_ID]],tblStudents[Student_ID],tblStudents[Address])</f>
        <v>Pune, Maharashtra</v>
      </c>
    </row>
    <row r="72" spans="1:12" x14ac:dyDescent="0.3">
      <c r="A72" s="17">
        <v>71</v>
      </c>
      <c r="B72" s="23" t="s">
        <v>184</v>
      </c>
      <c r="C72" s="10" t="s">
        <v>185</v>
      </c>
      <c r="D72" s="10" t="s">
        <v>343</v>
      </c>
      <c r="E72" s="9">
        <v>9876501265</v>
      </c>
      <c r="F72" s="11">
        <v>46202</v>
      </c>
      <c r="G72" s="12">
        <v>0.80969907407407404</v>
      </c>
      <c r="H72" s="12">
        <v>0.83267361111111116</v>
      </c>
      <c r="I72" s="12" t="str">
        <f>TEXT(tblAttendance[[#This Row],[Date]],"mmm")</f>
        <v>Jun</v>
      </c>
      <c r="J72" s="12" t="str">
        <f>TEXT(tblAttendance[[#This Row],[Date]],"yyyy")</f>
        <v>2026</v>
      </c>
      <c r="K72" s="12" t="str">
        <f>TEXT(tblAttendance[[#This Row],[Date]],"dddd")</f>
        <v>Monday</v>
      </c>
      <c r="L72" s="29" t="str">
        <f>_xlfn.XLOOKUP(tblAttendance[[#This Row],[Student_ID]],tblStudents[Student_ID],tblStudents[Address])</f>
        <v>Pune, Maharashtra</v>
      </c>
    </row>
    <row r="73" spans="1:12" x14ac:dyDescent="0.3">
      <c r="A73" s="17">
        <v>72</v>
      </c>
      <c r="B73" s="23" t="s">
        <v>186</v>
      </c>
      <c r="C73" s="10" t="s">
        <v>187</v>
      </c>
      <c r="D73" s="10" t="s">
        <v>342</v>
      </c>
      <c r="E73" s="9">
        <v>9876501266</v>
      </c>
      <c r="F73" s="11">
        <v>46202</v>
      </c>
      <c r="G73" s="12">
        <v>0.80983796296296295</v>
      </c>
      <c r="H73" s="12">
        <v>0.83275462962962965</v>
      </c>
      <c r="I73" s="12" t="str">
        <f>TEXT(tblAttendance[[#This Row],[Date]],"mmm")</f>
        <v>Jun</v>
      </c>
      <c r="J73" s="12" t="str">
        <f>TEXT(tblAttendance[[#This Row],[Date]],"yyyy")</f>
        <v>2026</v>
      </c>
      <c r="K73" s="12" t="str">
        <f>TEXT(tblAttendance[[#This Row],[Date]],"dddd")</f>
        <v>Monday</v>
      </c>
      <c r="L73" s="29" t="str">
        <f>_xlfn.XLOOKUP(tblAttendance[[#This Row],[Student_ID]],tblStudents[Student_ID],tblStudents[Address])</f>
        <v>Ahilya Nagar, Maharashtra, Maharashtra</v>
      </c>
    </row>
    <row r="74" spans="1:12" x14ac:dyDescent="0.3">
      <c r="A74" s="17">
        <v>73</v>
      </c>
      <c r="B74" s="23" t="s">
        <v>188</v>
      </c>
      <c r="C74" s="10" t="s">
        <v>189</v>
      </c>
      <c r="D74" s="10" t="s">
        <v>343</v>
      </c>
      <c r="E74" s="9">
        <v>9876501267</v>
      </c>
      <c r="F74" s="11">
        <v>46202</v>
      </c>
      <c r="G74" s="12">
        <v>0.80990740740740741</v>
      </c>
      <c r="H74" s="12">
        <v>0.83280092592592592</v>
      </c>
      <c r="I74" s="12" t="str">
        <f>TEXT(tblAttendance[[#This Row],[Date]],"mmm")</f>
        <v>Jun</v>
      </c>
      <c r="J74" s="12" t="str">
        <f>TEXT(tblAttendance[[#This Row],[Date]],"yyyy")</f>
        <v>2026</v>
      </c>
      <c r="K74" s="12" t="str">
        <f>TEXT(tblAttendance[[#This Row],[Date]],"dddd")</f>
        <v>Monday</v>
      </c>
      <c r="L74" s="29" t="str">
        <f>_xlfn.XLOOKUP(tblAttendance[[#This Row],[Student_ID]],tblStudents[Student_ID],tblStudents[Address])</f>
        <v>Chhatrapati Sambhajinagar, Maharashtra</v>
      </c>
    </row>
    <row r="75" spans="1:12" x14ac:dyDescent="0.3">
      <c r="A75" s="17">
        <v>74</v>
      </c>
      <c r="B75" s="23" t="s">
        <v>190</v>
      </c>
      <c r="C75" s="10" t="s">
        <v>191</v>
      </c>
      <c r="D75" s="10" t="s">
        <v>344</v>
      </c>
      <c r="E75" s="9">
        <v>9876501268</v>
      </c>
      <c r="F75" s="11">
        <v>46202</v>
      </c>
      <c r="G75" s="12">
        <v>0.80997685185185186</v>
      </c>
      <c r="H75" s="12">
        <v>0.83285879629629633</v>
      </c>
      <c r="I75" s="12" t="str">
        <f>TEXT(tblAttendance[[#This Row],[Date]],"mmm")</f>
        <v>Jun</v>
      </c>
      <c r="J75" s="12" t="str">
        <f>TEXT(tblAttendance[[#This Row],[Date]],"yyyy")</f>
        <v>2026</v>
      </c>
      <c r="K75" s="12" t="str">
        <f>TEXT(tblAttendance[[#This Row],[Date]],"dddd")</f>
        <v>Monday</v>
      </c>
      <c r="L75" s="29" t="str">
        <f>_xlfn.XLOOKUP(tblAttendance[[#This Row],[Student_ID]],tblStudents[Student_ID],tblStudents[Address])</f>
        <v>Pune, Maharashtra</v>
      </c>
    </row>
    <row r="76" spans="1:12" x14ac:dyDescent="0.3">
      <c r="A76" s="17">
        <v>75</v>
      </c>
      <c r="B76" s="23" t="s">
        <v>192</v>
      </c>
      <c r="C76" s="10" t="s">
        <v>193</v>
      </c>
      <c r="D76" s="10" t="s">
        <v>346</v>
      </c>
      <c r="E76" s="9">
        <v>9876501269</v>
      </c>
      <c r="F76" s="11">
        <v>46202</v>
      </c>
      <c r="G76" s="12">
        <v>0.81004629629629632</v>
      </c>
      <c r="H76" s="12">
        <v>0.83292824074074079</v>
      </c>
      <c r="I76" s="12" t="str">
        <f>TEXT(tblAttendance[[#This Row],[Date]],"mmm")</f>
        <v>Jun</v>
      </c>
      <c r="J76" s="12" t="str">
        <f>TEXT(tblAttendance[[#This Row],[Date]],"yyyy")</f>
        <v>2026</v>
      </c>
      <c r="K76" s="12" t="str">
        <f>TEXT(tblAttendance[[#This Row],[Date]],"dddd")</f>
        <v>Monday</v>
      </c>
      <c r="L76" s="29" t="str">
        <f>_xlfn.XLOOKUP(tblAttendance[[#This Row],[Student_ID]],tblStudents[Student_ID],tblStudents[Address])</f>
        <v>Pune, Maharashtra</v>
      </c>
    </row>
    <row r="77" spans="1:12" x14ac:dyDescent="0.3">
      <c r="A77" s="17">
        <v>76</v>
      </c>
      <c r="B77" s="23" t="s">
        <v>194</v>
      </c>
      <c r="C77" s="10" t="s">
        <v>195</v>
      </c>
      <c r="D77" s="10" t="s">
        <v>346</v>
      </c>
      <c r="E77" s="9">
        <v>9876501270</v>
      </c>
      <c r="F77" s="11">
        <v>46202</v>
      </c>
      <c r="G77" s="12">
        <v>0.81010416666666663</v>
      </c>
      <c r="H77" s="12">
        <v>0.83298611111111109</v>
      </c>
      <c r="I77" s="12" t="str">
        <f>TEXT(tblAttendance[[#This Row],[Date]],"mmm")</f>
        <v>Jun</v>
      </c>
      <c r="J77" s="12" t="str">
        <f>TEXT(tblAttendance[[#This Row],[Date]],"yyyy")</f>
        <v>2026</v>
      </c>
      <c r="K77" s="12" t="str">
        <f>TEXT(tblAttendance[[#This Row],[Date]],"dddd")</f>
        <v>Monday</v>
      </c>
      <c r="L77" s="29" t="str">
        <f>_xlfn.XLOOKUP(tblAttendance[[#This Row],[Student_ID]],tblStudents[Student_ID],tblStudents[Address])</f>
        <v>Chhatrapati Sambhajinagar, Maharashtra</v>
      </c>
    </row>
    <row r="78" spans="1:12" x14ac:dyDescent="0.3">
      <c r="A78" s="17">
        <v>77</v>
      </c>
      <c r="B78" s="23" t="s">
        <v>196</v>
      </c>
      <c r="C78" s="10" t="s">
        <v>197</v>
      </c>
      <c r="D78" s="10" t="s">
        <v>341</v>
      </c>
      <c r="E78" s="9">
        <v>9876501271</v>
      </c>
      <c r="F78" s="11">
        <v>46202</v>
      </c>
      <c r="G78" s="12">
        <v>0.81016203703703704</v>
      </c>
      <c r="H78" s="12">
        <v>0.83304398148148151</v>
      </c>
      <c r="I78" s="12" t="str">
        <f>TEXT(tblAttendance[[#This Row],[Date]],"mmm")</f>
        <v>Jun</v>
      </c>
      <c r="J78" s="12" t="str">
        <f>TEXT(tblAttendance[[#This Row],[Date]],"yyyy")</f>
        <v>2026</v>
      </c>
      <c r="K78" s="12" t="str">
        <f>TEXT(tblAttendance[[#This Row],[Date]],"dddd")</f>
        <v>Monday</v>
      </c>
      <c r="L78" s="29" t="str">
        <f>_xlfn.XLOOKUP(tblAttendance[[#This Row],[Student_ID]],tblStudents[Student_ID],tblStudents[Address])</f>
        <v>Chhatrapati Sambhajinagar, Maharashtra</v>
      </c>
    </row>
    <row r="79" spans="1:12" x14ac:dyDescent="0.3">
      <c r="A79" s="17">
        <v>78</v>
      </c>
      <c r="B79" s="23" t="s">
        <v>198</v>
      </c>
      <c r="C79" s="10" t="s">
        <v>199</v>
      </c>
      <c r="D79" s="10" t="s">
        <v>343</v>
      </c>
      <c r="E79" s="9">
        <v>9876501272</v>
      </c>
      <c r="F79" s="11">
        <v>46202</v>
      </c>
      <c r="G79" s="12">
        <v>0.8102314814814815</v>
      </c>
      <c r="H79" s="12">
        <v>0.83309027777777778</v>
      </c>
      <c r="I79" s="12" t="str">
        <f>TEXT(tblAttendance[[#This Row],[Date]],"mmm")</f>
        <v>Jun</v>
      </c>
      <c r="J79" s="12" t="str">
        <f>TEXT(tblAttendance[[#This Row],[Date]],"yyyy")</f>
        <v>2026</v>
      </c>
      <c r="K79" s="12" t="str">
        <f>TEXT(tblAttendance[[#This Row],[Date]],"dddd")</f>
        <v>Monday</v>
      </c>
      <c r="L79" s="29" t="str">
        <f>_xlfn.XLOOKUP(tblAttendance[[#This Row],[Student_ID]],tblStudents[Student_ID],tblStudents[Address])</f>
        <v>Pune, Maharashtra</v>
      </c>
    </row>
    <row r="80" spans="1:12" x14ac:dyDescent="0.3">
      <c r="A80" s="17">
        <v>79</v>
      </c>
      <c r="B80" s="23" t="s">
        <v>200</v>
      </c>
      <c r="C80" s="10" t="s">
        <v>201</v>
      </c>
      <c r="D80" s="10" t="s">
        <v>344</v>
      </c>
      <c r="E80" s="9">
        <v>9876501273</v>
      </c>
      <c r="F80" s="11">
        <v>46202</v>
      </c>
      <c r="G80" s="12">
        <v>0.81030092592592595</v>
      </c>
      <c r="H80" s="12">
        <v>0.83313657407407404</v>
      </c>
      <c r="I80" s="12" t="str">
        <f>TEXT(tblAttendance[[#This Row],[Date]],"mmm")</f>
        <v>Jun</v>
      </c>
      <c r="J80" s="12" t="str">
        <f>TEXT(tblAttendance[[#This Row],[Date]],"yyyy")</f>
        <v>2026</v>
      </c>
      <c r="K80" s="12" t="str">
        <f>TEXT(tblAttendance[[#This Row],[Date]],"dddd")</f>
        <v>Monday</v>
      </c>
      <c r="L80" s="29" t="str">
        <f>_xlfn.XLOOKUP(tblAttendance[[#This Row],[Student_ID]],tblStudents[Student_ID],tblStudents[Address])</f>
        <v>Pune, Maharashtra</v>
      </c>
    </row>
    <row r="81" spans="1:12" x14ac:dyDescent="0.3">
      <c r="A81" s="17">
        <v>80</v>
      </c>
      <c r="B81" s="23" t="s">
        <v>202</v>
      </c>
      <c r="C81" s="10" t="s">
        <v>203</v>
      </c>
      <c r="D81" s="10" t="s">
        <v>349</v>
      </c>
      <c r="E81" s="9">
        <v>9876501274</v>
      </c>
      <c r="F81" s="11">
        <v>46202</v>
      </c>
      <c r="G81" s="12">
        <v>0.81037037037037041</v>
      </c>
      <c r="H81" s="12">
        <v>0.83318287037037042</v>
      </c>
      <c r="I81" s="12" t="str">
        <f>TEXT(tblAttendance[[#This Row],[Date]],"mmm")</f>
        <v>Jun</v>
      </c>
      <c r="J81" s="12" t="str">
        <f>TEXT(tblAttendance[[#This Row],[Date]],"yyyy")</f>
        <v>2026</v>
      </c>
      <c r="K81" s="12" t="str">
        <f>TEXT(tblAttendance[[#This Row],[Date]],"dddd")</f>
        <v>Monday</v>
      </c>
      <c r="L81" s="29" t="str">
        <f>_xlfn.XLOOKUP(tblAttendance[[#This Row],[Student_ID]],tblStudents[Student_ID],tblStudents[Address])</f>
        <v>Ahilya Nagar, Maharashtra, Maharashtra</v>
      </c>
    </row>
    <row r="82" spans="1:12" x14ac:dyDescent="0.3">
      <c r="A82" s="17">
        <v>81</v>
      </c>
      <c r="B82" s="23" t="s">
        <v>204</v>
      </c>
      <c r="C82" s="10" t="s">
        <v>205</v>
      </c>
      <c r="D82" s="10" t="s">
        <v>343</v>
      </c>
      <c r="E82" s="9">
        <v>9876501275</v>
      </c>
      <c r="F82" s="11">
        <v>46202</v>
      </c>
      <c r="G82" s="12">
        <v>0.81042824074074071</v>
      </c>
      <c r="H82" s="12">
        <v>0.83325231481481477</v>
      </c>
      <c r="I82" s="12" t="str">
        <f>TEXT(tblAttendance[[#This Row],[Date]],"mmm")</f>
        <v>Jun</v>
      </c>
      <c r="J82" s="12" t="str">
        <f>TEXT(tblAttendance[[#This Row],[Date]],"yyyy")</f>
        <v>2026</v>
      </c>
      <c r="K82" s="12" t="str">
        <f>TEXT(tblAttendance[[#This Row],[Date]],"dddd")</f>
        <v>Monday</v>
      </c>
      <c r="L82" s="29" t="str">
        <f>_xlfn.XLOOKUP(tblAttendance[[#This Row],[Student_ID]],tblStudents[Student_ID],tblStudents[Address])</f>
        <v>Chhatrapati Sambhajinagar, Maharashtra</v>
      </c>
    </row>
    <row r="83" spans="1:12" x14ac:dyDescent="0.3">
      <c r="A83" s="17">
        <v>82</v>
      </c>
      <c r="B83" s="23" t="s">
        <v>206</v>
      </c>
      <c r="C83" s="10" t="s">
        <v>207</v>
      </c>
      <c r="D83" s="10" t="s">
        <v>347</v>
      </c>
      <c r="E83" s="9">
        <v>9876501276</v>
      </c>
      <c r="F83" s="11">
        <v>46202</v>
      </c>
      <c r="G83" s="12">
        <v>0.81049768518518517</v>
      </c>
      <c r="H83" s="12">
        <v>0.83331018518518518</v>
      </c>
      <c r="I83" s="12" t="str">
        <f>TEXT(tblAttendance[[#This Row],[Date]],"mmm")</f>
        <v>Jun</v>
      </c>
      <c r="J83" s="12" t="str">
        <f>TEXT(tblAttendance[[#This Row],[Date]],"yyyy")</f>
        <v>2026</v>
      </c>
      <c r="K83" s="12" t="str">
        <f>TEXT(tblAttendance[[#This Row],[Date]],"dddd")</f>
        <v>Monday</v>
      </c>
      <c r="L83" s="29" t="str">
        <f>_xlfn.XLOOKUP(tblAttendance[[#This Row],[Student_ID]],tblStudents[Student_ID],tblStudents[Address])</f>
        <v>Pune, Maharashtra</v>
      </c>
    </row>
    <row r="84" spans="1:12" x14ac:dyDescent="0.3">
      <c r="A84" s="17">
        <v>83</v>
      </c>
      <c r="B84" s="23" t="s">
        <v>208</v>
      </c>
      <c r="C84" s="10" t="s">
        <v>209</v>
      </c>
      <c r="D84" s="10" t="s">
        <v>350</v>
      </c>
      <c r="E84" s="9">
        <v>9834512701</v>
      </c>
      <c r="F84" s="11">
        <v>46202</v>
      </c>
      <c r="G84" s="12">
        <v>0.81055555555555558</v>
      </c>
      <c r="H84" s="12">
        <v>0.83339120370370368</v>
      </c>
      <c r="I84" s="12" t="str">
        <f>TEXT(tblAttendance[[#This Row],[Date]],"mmm")</f>
        <v>Jun</v>
      </c>
      <c r="J84" s="12" t="str">
        <f>TEXT(tblAttendance[[#This Row],[Date]],"yyyy")</f>
        <v>2026</v>
      </c>
      <c r="K84" s="12" t="str">
        <f>TEXT(tblAttendance[[#This Row],[Date]],"dddd")</f>
        <v>Monday</v>
      </c>
      <c r="L84" s="29" t="str">
        <f>_xlfn.XLOOKUP(tblAttendance[[#This Row],[Student_ID]],tblStudents[Student_ID],tblStudents[Address])</f>
        <v>Hadapsar, Pune</v>
      </c>
    </row>
    <row r="85" spans="1:12" x14ac:dyDescent="0.3">
      <c r="A85" s="17">
        <v>84</v>
      </c>
      <c r="B85" s="23" t="s">
        <v>214</v>
      </c>
      <c r="C85" s="10" t="s">
        <v>215</v>
      </c>
      <c r="D85" s="10" t="s">
        <v>348</v>
      </c>
      <c r="E85" s="9">
        <v>9834512703</v>
      </c>
      <c r="F85" s="11">
        <v>46202</v>
      </c>
      <c r="G85" s="12">
        <v>0.81071759259259257</v>
      </c>
      <c r="H85" s="12">
        <v>0.83353009259259259</v>
      </c>
      <c r="I85" s="12" t="str">
        <f>TEXT(tblAttendance[[#This Row],[Date]],"mmm")</f>
        <v>Jun</v>
      </c>
      <c r="J85" s="12" t="str">
        <f>TEXT(tblAttendance[[#This Row],[Date]],"yyyy")</f>
        <v>2026</v>
      </c>
      <c r="K85" s="12" t="str">
        <f>TEXT(tblAttendance[[#This Row],[Date]],"dddd")</f>
        <v>Monday</v>
      </c>
      <c r="L85" s="29" t="str">
        <f>_xlfn.XLOOKUP(tblAttendance[[#This Row],[Student_ID]],tblStudents[Student_ID],tblStudents[Address])</f>
        <v>Chakan, Pune</v>
      </c>
    </row>
    <row r="86" spans="1:12" x14ac:dyDescent="0.3">
      <c r="A86" s="17">
        <v>85</v>
      </c>
      <c r="B86" s="23" t="s">
        <v>217</v>
      </c>
      <c r="C86" s="10" t="s">
        <v>218</v>
      </c>
      <c r="D86" s="10" t="s">
        <v>349</v>
      </c>
      <c r="E86" s="9">
        <v>9834512704</v>
      </c>
      <c r="F86" s="11">
        <v>46202</v>
      </c>
      <c r="G86" s="12">
        <v>0.81077546296296299</v>
      </c>
      <c r="H86" s="12">
        <v>0.83381944444444445</v>
      </c>
      <c r="I86" s="12" t="str">
        <f>TEXT(tblAttendance[[#This Row],[Date]],"mmm")</f>
        <v>Jun</v>
      </c>
      <c r="J86" s="12" t="str">
        <f>TEXT(tblAttendance[[#This Row],[Date]],"yyyy")</f>
        <v>2026</v>
      </c>
      <c r="K86" s="12" t="str">
        <f>TEXT(tblAttendance[[#This Row],[Date]],"dddd")</f>
        <v>Monday</v>
      </c>
      <c r="L86" s="29" t="str">
        <f>_xlfn.XLOOKUP(tblAttendance[[#This Row],[Student_ID]],tblStudents[Student_ID],tblStudents[Address])</f>
        <v>Kharadi, Pune</v>
      </c>
    </row>
    <row r="87" spans="1:12" x14ac:dyDescent="0.3">
      <c r="A87" s="17">
        <v>86</v>
      </c>
      <c r="B87" s="23" t="s">
        <v>220</v>
      </c>
      <c r="C87" s="10" t="s">
        <v>221</v>
      </c>
      <c r="D87" s="10" t="s">
        <v>344</v>
      </c>
      <c r="E87" s="9">
        <v>9834512705</v>
      </c>
      <c r="F87" s="11">
        <v>46202</v>
      </c>
      <c r="G87" s="12">
        <v>0.81083333333333329</v>
      </c>
      <c r="H87" s="12">
        <v>0.8338888888888889</v>
      </c>
      <c r="I87" s="12" t="str">
        <f>TEXT(tblAttendance[[#This Row],[Date]],"mmm")</f>
        <v>Jun</v>
      </c>
      <c r="J87" s="12" t="str">
        <f>TEXT(tblAttendance[[#This Row],[Date]],"yyyy")</f>
        <v>2026</v>
      </c>
      <c r="K87" s="12" t="str">
        <f>TEXT(tblAttendance[[#This Row],[Date]],"dddd")</f>
        <v>Monday</v>
      </c>
      <c r="L87" s="29" t="str">
        <f>_xlfn.XLOOKUP(tblAttendance[[#This Row],[Student_ID]],tblStudents[Student_ID],tblStudents[Address])</f>
        <v>Hinjawadi, Pune</v>
      </c>
    </row>
    <row r="88" spans="1:12" x14ac:dyDescent="0.3">
      <c r="A88" s="17">
        <v>87</v>
      </c>
      <c r="B88" s="23" t="s">
        <v>223</v>
      </c>
      <c r="C88" s="10" t="s">
        <v>224</v>
      </c>
      <c r="D88" s="10" t="s">
        <v>343</v>
      </c>
      <c r="E88" s="9">
        <v>9834512706</v>
      </c>
      <c r="F88" s="11">
        <v>46202</v>
      </c>
      <c r="G88" s="12">
        <v>0.81090277777777775</v>
      </c>
      <c r="H88" s="12">
        <v>0.83394675925925921</v>
      </c>
      <c r="I88" s="12" t="str">
        <f>TEXT(tblAttendance[[#This Row],[Date]],"mmm")</f>
        <v>Jun</v>
      </c>
      <c r="J88" s="12" t="str">
        <f>TEXT(tblAttendance[[#This Row],[Date]],"yyyy")</f>
        <v>2026</v>
      </c>
      <c r="K88" s="12" t="str">
        <f>TEXT(tblAttendance[[#This Row],[Date]],"dddd")</f>
        <v>Monday</v>
      </c>
      <c r="L88" s="29" t="str">
        <f>_xlfn.XLOOKUP(tblAttendance[[#This Row],[Student_ID]],tblStudents[Student_ID],tblStudents[Address])</f>
        <v>Baner, Pune</v>
      </c>
    </row>
    <row r="89" spans="1:12" x14ac:dyDescent="0.3">
      <c r="A89" s="17">
        <v>88</v>
      </c>
      <c r="B89" s="23" t="s">
        <v>226</v>
      </c>
      <c r="C89" s="10" t="s">
        <v>227</v>
      </c>
      <c r="D89" s="10" t="s">
        <v>340</v>
      </c>
      <c r="E89" s="9">
        <v>9834512707</v>
      </c>
      <c r="F89" s="11">
        <v>46202</v>
      </c>
      <c r="G89" s="12">
        <v>0.81099537037037039</v>
      </c>
      <c r="H89" s="12">
        <v>0.83400462962962962</v>
      </c>
      <c r="I89" s="12" t="str">
        <f>TEXT(tblAttendance[[#This Row],[Date]],"mmm")</f>
        <v>Jun</v>
      </c>
      <c r="J89" s="12" t="str">
        <f>TEXT(tblAttendance[[#This Row],[Date]],"yyyy")</f>
        <v>2026</v>
      </c>
      <c r="K89" s="12" t="str">
        <f>TEXT(tblAttendance[[#This Row],[Date]],"dddd")</f>
        <v>Monday</v>
      </c>
      <c r="L89" s="29" t="str">
        <f>_xlfn.XLOOKUP(tblAttendance[[#This Row],[Student_ID]],tblStudents[Student_ID],tblStudents[Address])</f>
        <v>Wakad, Pune</v>
      </c>
    </row>
    <row r="90" spans="1:12" x14ac:dyDescent="0.3">
      <c r="A90" s="17">
        <v>89</v>
      </c>
      <c r="B90" s="23" t="s">
        <v>27</v>
      </c>
      <c r="C90" s="10" t="s">
        <v>24</v>
      </c>
      <c r="D90" s="10" t="s">
        <v>349</v>
      </c>
      <c r="E90" s="9">
        <v>9876501201</v>
      </c>
      <c r="F90" s="11">
        <v>46204</v>
      </c>
      <c r="G90" s="12">
        <v>0.77807870370370369</v>
      </c>
      <c r="H90" s="12">
        <v>0.78392361111111108</v>
      </c>
      <c r="I90" s="12" t="str">
        <f>TEXT(tblAttendance[[#This Row],[Date]],"mmm")</f>
        <v>Jul</v>
      </c>
      <c r="J90" s="12" t="str">
        <f>TEXT(tblAttendance[[#This Row],[Date]],"yyyy")</f>
        <v>2026</v>
      </c>
      <c r="K90" s="12" t="str">
        <f>TEXT(tblAttendance[[#This Row],[Date]],"dddd")</f>
        <v>Wednesday</v>
      </c>
      <c r="L90" s="29" t="str">
        <f>_xlfn.XLOOKUP(tblAttendance[[#This Row],[Student_ID]],tblStudents[Student_ID],tblStudents[Address])</f>
        <v>Pune, Maharashtra</v>
      </c>
    </row>
    <row r="91" spans="1:12" x14ac:dyDescent="0.3">
      <c r="A91" s="17">
        <v>90</v>
      </c>
      <c r="B91" s="23" t="s">
        <v>28</v>
      </c>
      <c r="C91" s="10" t="s">
        <v>29</v>
      </c>
      <c r="D91" s="10" t="s">
        <v>350</v>
      </c>
      <c r="E91" s="9">
        <v>9876501202</v>
      </c>
      <c r="F91" s="11">
        <v>46204</v>
      </c>
      <c r="G91" s="12">
        <v>0.77815972222222218</v>
      </c>
      <c r="H91" s="12">
        <v>0.78403935185185181</v>
      </c>
      <c r="I91" s="12" t="str">
        <f>TEXT(tblAttendance[[#This Row],[Date]],"mmm")</f>
        <v>Jul</v>
      </c>
      <c r="J91" s="12" t="str">
        <f>TEXT(tblAttendance[[#This Row],[Date]],"yyyy")</f>
        <v>2026</v>
      </c>
      <c r="K91" s="12" t="str">
        <f>TEXT(tblAttendance[[#This Row],[Date]],"dddd")</f>
        <v>Wednesday</v>
      </c>
      <c r="L91" s="29" t="str">
        <f>_xlfn.XLOOKUP(tblAttendance[[#This Row],[Student_ID]],tblStudents[Student_ID],tblStudents[Address])</f>
        <v>Nashik, Maharashtra</v>
      </c>
    </row>
    <row r="92" spans="1:12" x14ac:dyDescent="0.3">
      <c r="A92" s="17">
        <v>91</v>
      </c>
      <c r="B92" s="23" t="s">
        <v>31</v>
      </c>
      <c r="C92" s="10" t="s">
        <v>32</v>
      </c>
      <c r="D92" s="10" t="s">
        <v>344</v>
      </c>
      <c r="E92" s="9">
        <v>9876501203</v>
      </c>
      <c r="F92" s="11">
        <v>46204</v>
      </c>
      <c r="G92" s="12">
        <v>0.77824074074074079</v>
      </c>
      <c r="H92" s="12">
        <v>0.78413194444444445</v>
      </c>
      <c r="I92" s="12" t="str">
        <f>TEXT(tblAttendance[[#This Row],[Date]],"mmm")</f>
        <v>Jul</v>
      </c>
      <c r="J92" s="12" t="str">
        <f>TEXT(tblAttendance[[#This Row],[Date]],"yyyy")</f>
        <v>2026</v>
      </c>
      <c r="K92" s="12" t="str">
        <f>TEXT(tblAttendance[[#This Row],[Date]],"dddd")</f>
        <v>Wednesday</v>
      </c>
      <c r="L92" s="29" t="str">
        <f>_xlfn.XLOOKUP(tblAttendance[[#This Row],[Student_ID]],tblStudents[Student_ID],tblStudents[Address])</f>
        <v>Nagpur, Maharashtra</v>
      </c>
    </row>
    <row r="93" spans="1:12" x14ac:dyDescent="0.3">
      <c r="A93" s="17">
        <v>92</v>
      </c>
      <c r="B93" s="23" t="s">
        <v>34</v>
      </c>
      <c r="C93" s="10" t="s">
        <v>35</v>
      </c>
      <c r="D93" s="10" t="s">
        <v>350</v>
      </c>
      <c r="E93" s="9">
        <v>9876501204</v>
      </c>
      <c r="F93" s="11">
        <v>46204</v>
      </c>
      <c r="G93" s="12">
        <v>0.77831018518518513</v>
      </c>
      <c r="H93" s="12">
        <v>0.78423611111111113</v>
      </c>
      <c r="I93" s="12" t="str">
        <f>TEXT(tblAttendance[[#This Row],[Date]],"mmm")</f>
        <v>Jul</v>
      </c>
      <c r="J93" s="12" t="str">
        <f>TEXT(tblAttendance[[#This Row],[Date]],"yyyy")</f>
        <v>2026</v>
      </c>
      <c r="K93" s="12" t="str">
        <f>TEXT(tblAttendance[[#This Row],[Date]],"dddd")</f>
        <v>Wednesday</v>
      </c>
      <c r="L93" s="29" t="str">
        <f>_xlfn.XLOOKUP(tblAttendance[[#This Row],[Student_ID]],tblStudents[Student_ID],tblStudents[Address])</f>
        <v>Mumbai, Maharashtra</v>
      </c>
    </row>
    <row r="94" spans="1:12" x14ac:dyDescent="0.3">
      <c r="A94" s="17">
        <v>93</v>
      </c>
      <c r="B94" s="23" t="s">
        <v>37</v>
      </c>
      <c r="C94" s="10" t="s">
        <v>38</v>
      </c>
      <c r="D94" s="10" t="s">
        <v>350</v>
      </c>
      <c r="E94" s="9">
        <v>9876501205</v>
      </c>
      <c r="F94" s="11">
        <v>46204</v>
      </c>
      <c r="G94" s="12">
        <v>0.77880787037037036</v>
      </c>
      <c r="H94" s="12">
        <v>0.78429398148148144</v>
      </c>
      <c r="I94" s="12" t="str">
        <f>TEXT(tblAttendance[[#This Row],[Date]],"mmm")</f>
        <v>Jul</v>
      </c>
      <c r="J94" s="12" t="str">
        <f>TEXT(tblAttendance[[#This Row],[Date]],"yyyy")</f>
        <v>2026</v>
      </c>
      <c r="K94" s="12" t="str">
        <f>TEXT(tblAttendance[[#This Row],[Date]],"dddd")</f>
        <v>Wednesday</v>
      </c>
      <c r="L94" s="29" t="str">
        <f>_xlfn.XLOOKUP(tblAttendance[[#This Row],[Student_ID]],tblStudents[Student_ID],tblStudents[Address])</f>
        <v>Chhatrapati Sambhajinagar, Maharashtra</v>
      </c>
    </row>
    <row r="95" spans="1:12" x14ac:dyDescent="0.3">
      <c r="A95" s="17">
        <v>94</v>
      </c>
      <c r="B95" s="23" t="s">
        <v>23</v>
      </c>
      <c r="C95" s="10" t="s">
        <v>40</v>
      </c>
      <c r="D95" s="10" t="s">
        <v>344</v>
      </c>
      <c r="E95" s="9">
        <v>9876501206</v>
      </c>
      <c r="F95" s="11">
        <v>46204</v>
      </c>
      <c r="G95" s="12">
        <v>0.77887731481481481</v>
      </c>
      <c r="H95" s="12">
        <v>0.78436342592592589</v>
      </c>
      <c r="I95" s="12" t="str">
        <f>TEXT(tblAttendance[[#This Row],[Date]],"mmm")</f>
        <v>Jul</v>
      </c>
      <c r="J95" s="12" t="str">
        <f>TEXT(tblAttendance[[#This Row],[Date]],"yyyy")</f>
        <v>2026</v>
      </c>
      <c r="K95" s="12" t="str">
        <f>TEXT(tblAttendance[[#This Row],[Date]],"dddd")</f>
        <v>Wednesday</v>
      </c>
      <c r="L95" s="29" t="str">
        <f>_xlfn.XLOOKUP(tblAttendance[[#This Row],[Student_ID]],tblStudents[Student_ID],tblStudents[Address])</f>
        <v>Jalna, Maharashtra</v>
      </c>
    </row>
    <row r="96" spans="1:12" x14ac:dyDescent="0.3">
      <c r="A96" s="17">
        <v>95</v>
      </c>
      <c r="B96" s="23" t="s">
        <v>42</v>
      </c>
      <c r="C96" s="10" t="s">
        <v>43</v>
      </c>
      <c r="D96" s="10" t="s">
        <v>344</v>
      </c>
      <c r="E96" s="9">
        <v>9876501207</v>
      </c>
      <c r="F96" s="11">
        <v>46204</v>
      </c>
      <c r="G96" s="12">
        <v>0.77892361111111108</v>
      </c>
      <c r="H96" s="12">
        <v>0.78440972222222227</v>
      </c>
      <c r="I96" s="12" t="str">
        <f>TEXT(tblAttendance[[#This Row],[Date]],"mmm")</f>
        <v>Jul</v>
      </c>
      <c r="J96" s="12" t="str">
        <f>TEXT(tblAttendance[[#This Row],[Date]],"yyyy")</f>
        <v>2026</v>
      </c>
      <c r="K96" s="12" t="str">
        <f>TEXT(tblAttendance[[#This Row],[Date]],"dddd")</f>
        <v>Wednesday</v>
      </c>
      <c r="L96" s="29" t="str">
        <f>_xlfn.XLOOKUP(tblAttendance[[#This Row],[Student_ID]],tblStudents[Student_ID],tblStudents[Address])</f>
        <v>Pune, Maharashtra</v>
      </c>
    </row>
    <row r="97" spans="1:12" x14ac:dyDescent="0.3">
      <c r="A97" s="17">
        <v>96</v>
      </c>
      <c r="B97" s="23" t="s">
        <v>44</v>
      </c>
      <c r="C97" s="10" t="s">
        <v>45</v>
      </c>
      <c r="D97" s="10" t="s">
        <v>350</v>
      </c>
      <c r="E97" s="9">
        <v>9876501208</v>
      </c>
      <c r="F97" s="11">
        <v>46204</v>
      </c>
      <c r="G97" s="12">
        <v>0.77896990740740746</v>
      </c>
      <c r="H97" s="12">
        <v>0.78445601851851854</v>
      </c>
      <c r="I97" s="12" t="str">
        <f>TEXT(tblAttendance[[#This Row],[Date]],"mmm")</f>
        <v>Jul</v>
      </c>
      <c r="J97" s="12" t="str">
        <f>TEXT(tblAttendance[[#This Row],[Date]],"yyyy")</f>
        <v>2026</v>
      </c>
      <c r="K97" s="12" t="str">
        <f>TEXT(tblAttendance[[#This Row],[Date]],"dddd")</f>
        <v>Wednesday</v>
      </c>
      <c r="L97" s="29" t="str">
        <f>_xlfn.XLOOKUP(tblAttendance[[#This Row],[Student_ID]],tblStudents[Student_ID],tblStudents[Address])</f>
        <v>Kolhapur, Maharashtra</v>
      </c>
    </row>
    <row r="98" spans="1:12" x14ac:dyDescent="0.3">
      <c r="A98" s="17">
        <v>97</v>
      </c>
      <c r="B98" s="23" t="s">
        <v>47</v>
      </c>
      <c r="C98" s="10" t="s">
        <v>48</v>
      </c>
      <c r="D98" s="10" t="s">
        <v>349</v>
      </c>
      <c r="E98" s="9">
        <v>9876501209</v>
      </c>
      <c r="F98" s="11">
        <v>46204</v>
      </c>
      <c r="G98" s="12">
        <v>0.77901620370370372</v>
      </c>
      <c r="H98" s="12">
        <v>0.78451388888888884</v>
      </c>
      <c r="I98" s="12" t="str">
        <f>TEXT(tblAttendance[[#This Row],[Date]],"mmm")</f>
        <v>Jul</v>
      </c>
      <c r="J98" s="12" t="str">
        <f>TEXT(tblAttendance[[#This Row],[Date]],"yyyy")</f>
        <v>2026</v>
      </c>
      <c r="K98" s="12" t="str">
        <f>TEXT(tblAttendance[[#This Row],[Date]],"dddd")</f>
        <v>Wednesday</v>
      </c>
      <c r="L98" s="29" t="str">
        <f>_xlfn.XLOOKUP(tblAttendance[[#This Row],[Student_ID]],tblStudents[Student_ID],tblStudents[Address])</f>
        <v>Solapur, Maharashtra</v>
      </c>
    </row>
    <row r="99" spans="1:12" x14ac:dyDescent="0.3">
      <c r="A99" s="17">
        <v>98</v>
      </c>
      <c r="B99" s="23" t="s">
        <v>50</v>
      </c>
      <c r="C99" s="10" t="s">
        <v>51</v>
      </c>
      <c r="D99" s="10" t="s">
        <v>349</v>
      </c>
      <c r="E99" s="9">
        <v>9876501210</v>
      </c>
      <c r="F99" s="11">
        <v>46204</v>
      </c>
      <c r="G99" s="12">
        <v>0.77906249999999999</v>
      </c>
      <c r="H99" s="12">
        <v>0.78465277777777775</v>
      </c>
      <c r="I99" s="12" t="str">
        <f>TEXT(tblAttendance[[#This Row],[Date]],"mmm")</f>
        <v>Jul</v>
      </c>
      <c r="J99" s="12" t="str">
        <f>TEXT(tblAttendance[[#This Row],[Date]],"yyyy")</f>
        <v>2026</v>
      </c>
      <c r="K99" s="12" t="str">
        <f>TEXT(tblAttendance[[#This Row],[Date]],"dddd")</f>
        <v>Wednesday</v>
      </c>
      <c r="L99" s="29" t="str">
        <f>_xlfn.XLOOKUP(tblAttendance[[#This Row],[Student_ID]],tblStudents[Student_ID],tblStudents[Address])</f>
        <v>Satara, Maharashtra</v>
      </c>
    </row>
    <row r="100" spans="1:12" x14ac:dyDescent="0.3">
      <c r="A100" s="17">
        <v>99</v>
      </c>
      <c r="B100" s="23" t="s">
        <v>53</v>
      </c>
      <c r="C100" s="10" t="s">
        <v>54</v>
      </c>
      <c r="D100" s="10" t="s">
        <v>350</v>
      </c>
      <c r="E100" s="9">
        <v>9876501211</v>
      </c>
      <c r="F100" s="11">
        <v>46204</v>
      </c>
      <c r="G100" s="12">
        <v>0.77912037037037041</v>
      </c>
      <c r="H100" s="12">
        <v>0.78469907407407402</v>
      </c>
      <c r="I100" s="12" t="str">
        <f>TEXT(tblAttendance[[#This Row],[Date]],"mmm")</f>
        <v>Jul</v>
      </c>
      <c r="J100" s="12" t="str">
        <f>TEXT(tblAttendance[[#This Row],[Date]],"yyyy")</f>
        <v>2026</v>
      </c>
      <c r="K100" s="12" t="str">
        <f>TEXT(tblAttendance[[#This Row],[Date]],"dddd")</f>
        <v>Wednesday</v>
      </c>
      <c r="L100" s="29" t="str">
        <f>_xlfn.XLOOKUP(tblAttendance[[#This Row],[Student_ID]],tblStudents[Student_ID],tblStudents[Address])</f>
        <v>Sangli, Maharashtra</v>
      </c>
    </row>
    <row r="101" spans="1:12" x14ac:dyDescent="0.3">
      <c r="A101" s="17">
        <v>100</v>
      </c>
      <c r="B101" s="23" t="s">
        <v>56</v>
      </c>
      <c r="C101" s="10" t="s">
        <v>57</v>
      </c>
      <c r="D101" s="10" t="s">
        <v>350</v>
      </c>
      <c r="E101" s="9">
        <v>9876501212</v>
      </c>
      <c r="F101" s="11">
        <v>46204</v>
      </c>
      <c r="G101" s="12">
        <v>0.77915509259259264</v>
      </c>
      <c r="H101" s="12">
        <v>0.7847453703703704</v>
      </c>
      <c r="I101" s="12" t="str">
        <f>TEXT(tblAttendance[[#This Row],[Date]],"mmm")</f>
        <v>Jul</v>
      </c>
      <c r="J101" s="12" t="str">
        <f>TEXT(tblAttendance[[#This Row],[Date]],"yyyy")</f>
        <v>2026</v>
      </c>
      <c r="K101" s="12" t="str">
        <f>TEXT(tblAttendance[[#This Row],[Date]],"dddd")</f>
        <v>Wednesday</v>
      </c>
      <c r="L101" s="29" t="str">
        <f>_xlfn.XLOOKUP(tblAttendance[[#This Row],[Student_ID]],tblStudents[Student_ID],tblStudents[Address])</f>
        <v>Ahilya Nagar, Maharashtra</v>
      </c>
    </row>
    <row r="102" spans="1:12" x14ac:dyDescent="0.3">
      <c r="A102" s="17">
        <v>101</v>
      </c>
      <c r="B102" s="23" t="s">
        <v>58</v>
      </c>
      <c r="C102" s="10" t="s">
        <v>59</v>
      </c>
      <c r="D102" s="10" t="s">
        <v>350</v>
      </c>
      <c r="E102" s="9">
        <v>9876501213</v>
      </c>
      <c r="F102" s="11">
        <v>46204</v>
      </c>
      <c r="G102" s="12">
        <v>0.77918981481481486</v>
      </c>
      <c r="H102" s="12">
        <v>0.78479166666666667</v>
      </c>
      <c r="I102" s="12" t="str">
        <f>TEXT(tblAttendance[[#This Row],[Date]],"mmm")</f>
        <v>Jul</v>
      </c>
      <c r="J102" s="12" t="str">
        <f>TEXT(tblAttendance[[#This Row],[Date]],"yyyy")</f>
        <v>2026</v>
      </c>
      <c r="K102" s="12" t="str">
        <f>TEXT(tblAttendance[[#This Row],[Date]],"dddd")</f>
        <v>Wednesday</v>
      </c>
      <c r="L102" s="29" t="str">
        <f>_xlfn.XLOOKUP(tblAttendance[[#This Row],[Student_ID]],tblStudents[Student_ID],tblStudents[Address])</f>
        <v>Beed, Maharashtra</v>
      </c>
    </row>
    <row r="103" spans="1:12" x14ac:dyDescent="0.3">
      <c r="A103" s="17">
        <v>102</v>
      </c>
      <c r="B103" s="23" t="s">
        <v>61</v>
      </c>
      <c r="C103" s="10" t="s">
        <v>62</v>
      </c>
      <c r="D103" s="10" t="s">
        <v>344</v>
      </c>
      <c r="E103" s="9">
        <v>9876501214</v>
      </c>
      <c r="F103" s="11">
        <v>46204</v>
      </c>
      <c r="G103" s="12">
        <v>0.7792824074074074</v>
      </c>
      <c r="H103" s="12">
        <v>0.78484953703703708</v>
      </c>
      <c r="I103" s="12" t="str">
        <f>TEXT(tblAttendance[[#This Row],[Date]],"mmm")</f>
        <v>Jul</v>
      </c>
      <c r="J103" s="12" t="str">
        <f>TEXT(tblAttendance[[#This Row],[Date]],"yyyy")</f>
        <v>2026</v>
      </c>
      <c r="K103" s="12" t="str">
        <f>TEXT(tblAttendance[[#This Row],[Date]],"dddd")</f>
        <v>Wednesday</v>
      </c>
      <c r="L103" s="29" t="str">
        <f>_xlfn.XLOOKUP(tblAttendance[[#This Row],[Student_ID]],tblStudents[Student_ID],tblStudents[Address])</f>
        <v>Latur, Maharashtra</v>
      </c>
    </row>
    <row r="104" spans="1:12" x14ac:dyDescent="0.3">
      <c r="A104" s="17">
        <v>103</v>
      </c>
      <c r="B104" s="23" t="s">
        <v>64</v>
      </c>
      <c r="C104" s="10" t="s">
        <v>65</v>
      </c>
      <c r="D104" s="10" t="s">
        <v>344</v>
      </c>
      <c r="E104" s="9">
        <v>9876501215</v>
      </c>
      <c r="F104" s="11">
        <v>46204</v>
      </c>
      <c r="G104" s="12">
        <v>0.77932870370370366</v>
      </c>
      <c r="H104" s="12">
        <v>0.78490740740740739</v>
      </c>
      <c r="I104" s="12" t="str">
        <f>TEXT(tblAttendance[[#This Row],[Date]],"mmm")</f>
        <v>Jul</v>
      </c>
      <c r="J104" s="12" t="str">
        <f>TEXT(tblAttendance[[#This Row],[Date]],"yyyy")</f>
        <v>2026</v>
      </c>
      <c r="K104" s="12" t="str">
        <f>TEXT(tblAttendance[[#This Row],[Date]],"dddd")</f>
        <v>Wednesday</v>
      </c>
      <c r="L104" s="29" t="str">
        <f>_xlfn.XLOOKUP(tblAttendance[[#This Row],[Student_ID]],tblStudents[Student_ID],tblStudents[Address])</f>
        <v>Akola, Maharashtra</v>
      </c>
    </row>
    <row r="105" spans="1:12" x14ac:dyDescent="0.3">
      <c r="A105" s="17">
        <v>104</v>
      </c>
      <c r="B105" s="23" t="s">
        <v>67</v>
      </c>
      <c r="C105" s="10" t="s">
        <v>68</v>
      </c>
      <c r="D105" s="10" t="s">
        <v>349</v>
      </c>
      <c r="E105" s="9">
        <v>9876501216</v>
      </c>
      <c r="F105" s="11">
        <v>46204</v>
      </c>
      <c r="G105" s="12">
        <v>0.77936342592592589</v>
      </c>
      <c r="H105" s="12">
        <v>0.78495370370370365</v>
      </c>
      <c r="I105" s="12" t="str">
        <f>TEXT(tblAttendance[[#This Row],[Date]],"mmm")</f>
        <v>Jul</v>
      </c>
      <c r="J105" s="12" t="str">
        <f>TEXT(tblAttendance[[#This Row],[Date]],"yyyy")</f>
        <v>2026</v>
      </c>
      <c r="K105" s="12" t="str">
        <f>TEXT(tblAttendance[[#This Row],[Date]],"dddd")</f>
        <v>Wednesday</v>
      </c>
      <c r="L105" s="29" t="str">
        <f>_xlfn.XLOOKUP(tblAttendance[[#This Row],[Student_ID]],tblStudents[Student_ID],tblStudents[Address])</f>
        <v>Dharashiv, Maharashtra</v>
      </c>
    </row>
    <row r="106" spans="1:12" x14ac:dyDescent="0.3">
      <c r="A106" s="17">
        <v>105</v>
      </c>
      <c r="B106" s="23" t="s">
        <v>70</v>
      </c>
      <c r="C106" s="10" t="s">
        <v>71</v>
      </c>
      <c r="D106" s="10" t="s">
        <v>344</v>
      </c>
      <c r="E106" s="9">
        <v>9876501217</v>
      </c>
      <c r="F106" s="11">
        <v>46204</v>
      </c>
      <c r="G106" s="12">
        <v>0.77942129629629631</v>
      </c>
      <c r="H106" s="12">
        <v>0.7850462962962963</v>
      </c>
      <c r="I106" s="12" t="str">
        <f>TEXT(tblAttendance[[#This Row],[Date]],"mmm")</f>
        <v>Jul</v>
      </c>
      <c r="J106" s="12" t="str">
        <f>TEXT(tblAttendance[[#This Row],[Date]],"yyyy")</f>
        <v>2026</v>
      </c>
      <c r="K106" s="12" t="str">
        <f>TEXT(tblAttendance[[#This Row],[Date]],"dddd")</f>
        <v>Wednesday</v>
      </c>
      <c r="L106" s="29" t="str">
        <f>_xlfn.XLOOKUP(tblAttendance[[#This Row],[Student_ID]],tblStudents[Student_ID],tblStudents[Address])</f>
        <v>Pune, Maharashtra</v>
      </c>
    </row>
    <row r="107" spans="1:12" x14ac:dyDescent="0.3">
      <c r="A107" s="17">
        <v>106</v>
      </c>
      <c r="B107" s="23" t="s">
        <v>72</v>
      </c>
      <c r="C107" s="10" t="s">
        <v>73</v>
      </c>
      <c r="D107" s="10" t="s">
        <v>349</v>
      </c>
      <c r="E107" s="9">
        <v>9876501218</v>
      </c>
      <c r="F107" s="11">
        <v>46204</v>
      </c>
      <c r="G107" s="12">
        <v>0.77945601851851853</v>
      </c>
      <c r="H107" s="12">
        <v>0.78512731481481479</v>
      </c>
      <c r="I107" s="12" t="str">
        <f>TEXT(tblAttendance[[#This Row],[Date]],"mmm")</f>
        <v>Jul</v>
      </c>
      <c r="J107" s="12" t="str">
        <f>TEXT(tblAttendance[[#This Row],[Date]],"yyyy")</f>
        <v>2026</v>
      </c>
      <c r="K107" s="12" t="str">
        <f>TEXT(tblAttendance[[#This Row],[Date]],"dddd")</f>
        <v>Wednesday</v>
      </c>
      <c r="L107" s="29" t="str">
        <f>_xlfn.XLOOKUP(tblAttendance[[#This Row],[Student_ID]],tblStudents[Student_ID],tblStudents[Address])</f>
        <v>Thane, Maharashtra</v>
      </c>
    </row>
    <row r="108" spans="1:12" x14ac:dyDescent="0.3">
      <c r="A108" s="17">
        <v>107</v>
      </c>
      <c r="B108" s="23" t="s">
        <v>75</v>
      </c>
      <c r="C108" s="10" t="s">
        <v>76</v>
      </c>
      <c r="D108" s="10" t="s">
        <v>344</v>
      </c>
      <c r="E108" s="9">
        <v>9876501219</v>
      </c>
      <c r="F108" s="11">
        <v>46204</v>
      </c>
      <c r="G108" s="12">
        <v>0.77957175925925926</v>
      </c>
      <c r="H108" s="12">
        <v>0.78523148148148147</v>
      </c>
      <c r="I108" s="12" t="str">
        <f>TEXT(tblAttendance[[#This Row],[Date]],"mmm")</f>
        <v>Jul</v>
      </c>
      <c r="J108" s="12" t="str">
        <f>TEXT(tblAttendance[[#This Row],[Date]],"yyyy")</f>
        <v>2026</v>
      </c>
      <c r="K108" s="12" t="str">
        <f>TEXT(tblAttendance[[#This Row],[Date]],"dddd")</f>
        <v>Wednesday</v>
      </c>
      <c r="L108" s="29" t="str">
        <f>_xlfn.XLOOKUP(tblAttendance[[#This Row],[Student_ID]],tblStudents[Student_ID],tblStudents[Address])</f>
        <v>Jalgaon, Maharashtra</v>
      </c>
    </row>
    <row r="109" spans="1:12" x14ac:dyDescent="0.3">
      <c r="A109" s="17">
        <v>108</v>
      </c>
      <c r="B109" s="23" t="s">
        <v>78</v>
      </c>
      <c r="C109" s="10" t="s">
        <v>79</v>
      </c>
      <c r="D109" s="10" t="s">
        <v>350</v>
      </c>
      <c r="E109" s="9">
        <v>9876501220</v>
      </c>
      <c r="F109" s="11">
        <v>46204</v>
      </c>
      <c r="G109" s="12">
        <v>0.77962962962962967</v>
      </c>
      <c r="H109" s="12">
        <v>0.78528935185185189</v>
      </c>
      <c r="I109" s="12" t="str">
        <f>TEXT(tblAttendance[[#This Row],[Date]],"mmm")</f>
        <v>Jul</v>
      </c>
      <c r="J109" s="12" t="str">
        <f>TEXT(tblAttendance[[#This Row],[Date]],"yyyy")</f>
        <v>2026</v>
      </c>
      <c r="K109" s="12" t="str">
        <f>TEXT(tblAttendance[[#This Row],[Date]],"dddd")</f>
        <v>Wednesday</v>
      </c>
      <c r="L109" s="29" t="str">
        <f>_xlfn.XLOOKUP(tblAttendance[[#This Row],[Student_ID]],tblStudents[Student_ID],tblStudents[Address])</f>
        <v>Amravati, Maharashtra</v>
      </c>
    </row>
    <row r="110" spans="1:12" x14ac:dyDescent="0.3">
      <c r="A110" s="17">
        <v>109</v>
      </c>
      <c r="B110" s="23" t="s">
        <v>86</v>
      </c>
      <c r="C110" s="10" t="s">
        <v>87</v>
      </c>
      <c r="D110" s="10" t="s">
        <v>350</v>
      </c>
      <c r="E110" s="9">
        <v>9876501223</v>
      </c>
      <c r="F110" s="11">
        <v>46204</v>
      </c>
      <c r="G110" s="12">
        <v>0.77971064814814817</v>
      </c>
      <c r="H110" s="12">
        <v>0.78565972222222225</v>
      </c>
      <c r="I110" s="12" t="str">
        <f>TEXT(tblAttendance[[#This Row],[Date]],"mmm")</f>
        <v>Jul</v>
      </c>
      <c r="J110" s="12" t="str">
        <f>TEXT(tblAttendance[[#This Row],[Date]],"yyyy")</f>
        <v>2026</v>
      </c>
      <c r="K110" s="12" t="str">
        <f>TEXT(tblAttendance[[#This Row],[Date]],"dddd")</f>
        <v>Wednesday</v>
      </c>
      <c r="L110" s="29" t="str">
        <f>_xlfn.XLOOKUP(tblAttendance[[#This Row],[Student_ID]],tblStudents[Student_ID],tblStudents[Address])</f>
        <v>Parbhani, Maharashtra</v>
      </c>
    </row>
    <row r="111" spans="1:12" x14ac:dyDescent="0.3">
      <c r="A111" s="17">
        <v>110</v>
      </c>
      <c r="B111" s="23" t="s">
        <v>89</v>
      </c>
      <c r="C111" s="10" t="s">
        <v>90</v>
      </c>
      <c r="D111" s="10" t="s">
        <v>349</v>
      </c>
      <c r="E111" s="9">
        <v>9876501224</v>
      </c>
      <c r="F111" s="11">
        <v>46204</v>
      </c>
      <c r="G111" s="12">
        <v>0.77975694444444443</v>
      </c>
      <c r="H111" s="12">
        <v>0.78570601851851851</v>
      </c>
      <c r="I111" s="12" t="str">
        <f>TEXT(tblAttendance[[#This Row],[Date]],"mmm")</f>
        <v>Jul</v>
      </c>
      <c r="J111" s="12" t="str">
        <f>TEXT(tblAttendance[[#This Row],[Date]],"yyyy")</f>
        <v>2026</v>
      </c>
      <c r="K111" s="12" t="str">
        <f>TEXT(tblAttendance[[#This Row],[Date]],"dddd")</f>
        <v>Wednesday</v>
      </c>
      <c r="L111" s="29" t="str">
        <f>_xlfn.XLOOKUP(tblAttendance[[#This Row],[Student_ID]],tblStudents[Student_ID],tblStudents[Address])</f>
        <v>Nanded, Maharashtra</v>
      </c>
    </row>
    <row r="112" spans="1:12" x14ac:dyDescent="0.3">
      <c r="A112" s="17">
        <v>111</v>
      </c>
      <c r="B112" s="23" t="s">
        <v>92</v>
      </c>
      <c r="C112" s="10" t="s">
        <v>93</v>
      </c>
      <c r="D112" s="10" t="s">
        <v>349</v>
      </c>
      <c r="E112" s="9">
        <v>9876501225</v>
      </c>
      <c r="F112" s="11">
        <v>46204</v>
      </c>
      <c r="G112" s="12">
        <v>0.7798032407407407</v>
      </c>
      <c r="H112" s="12">
        <v>0.78574074074074074</v>
      </c>
      <c r="I112" s="12" t="str">
        <f>TEXT(tblAttendance[[#This Row],[Date]],"mmm")</f>
        <v>Jul</v>
      </c>
      <c r="J112" s="12" t="str">
        <f>TEXT(tblAttendance[[#This Row],[Date]],"yyyy")</f>
        <v>2026</v>
      </c>
      <c r="K112" s="12" t="str">
        <f>TEXT(tblAttendance[[#This Row],[Date]],"dddd")</f>
        <v>Wednesday</v>
      </c>
      <c r="L112" s="29" t="str">
        <f>_xlfn.XLOOKUP(tblAttendance[[#This Row],[Student_ID]],tblStudents[Student_ID],tblStudents[Address])</f>
        <v>Wardha, Maharashtra</v>
      </c>
    </row>
    <row r="113" spans="1:12" x14ac:dyDescent="0.3">
      <c r="A113" s="17">
        <v>112</v>
      </c>
      <c r="B113" s="23" t="s">
        <v>95</v>
      </c>
      <c r="C113" s="10" t="s">
        <v>96</v>
      </c>
      <c r="D113" s="10" t="s">
        <v>344</v>
      </c>
      <c r="E113" s="9">
        <v>9876501226</v>
      </c>
      <c r="F113" s="11">
        <v>46204</v>
      </c>
      <c r="G113" s="12">
        <v>0.77983796296296293</v>
      </c>
      <c r="H113" s="12">
        <v>0.78587962962962965</v>
      </c>
      <c r="I113" s="12" t="str">
        <f>TEXT(tblAttendance[[#This Row],[Date]],"mmm")</f>
        <v>Jul</v>
      </c>
      <c r="J113" s="12" t="str">
        <f>TEXT(tblAttendance[[#This Row],[Date]],"yyyy")</f>
        <v>2026</v>
      </c>
      <c r="K113" s="12" t="str">
        <f>TEXT(tblAttendance[[#This Row],[Date]],"dddd")</f>
        <v>Wednesday</v>
      </c>
      <c r="L113" s="29" t="str">
        <f>_xlfn.XLOOKUP(tblAttendance[[#This Row],[Student_ID]],tblStudents[Student_ID],tblStudents[Address])</f>
        <v>Chandrapur, Maharashtra</v>
      </c>
    </row>
    <row r="114" spans="1:12" x14ac:dyDescent="0.3">
      <c r="A114" s="17">
        <v>113</v>
      </c>
      <c r="B114" s="23" t="s">
        <v>98</v>
      </c>
      <c r="C114" s="10" t="s">
        <v>99</v>
      </c>
      <c r="D114" s="10" t="s">
        <v>340</v>
      </c>
      <c r="E114" s="9">
        <v>9876501227</v>
      </c>
      <c r="F114" s="11">
        <v>46204</v>
      </c>
      <c r="G114" s="12">
        <v>0.77989583333333334</v>
      </c>
      <c r="H114" s="12">
        <v>0.78648148148148145</v>
      </c>
      <c r="I114" s="12" t="str">
        <f>TEXT(tblAttendance[[#This Row],[Date]],"mmm")</f>
        <v>Jul</v>
      </c>
      <c r="J114" s="12" t="str">
        <f>TEXT(tblAttendance[[#This Row],[Date]],"yyyy")</f>
        <v>2026</v>
      </c>
      <c r="K114" s="12" t="str">
        <f>TEXT(tblAttendance[[#This Row],[Date]],"dddd")</f>
        <v>Wednesday</v>
      </c>
      <c r="L114" s="29" t="str">
        <f>_xlfn.XLOOKUP(tblAttendance[[#This Row],[Student_ID]],tblStudents[Student_ID],tblStudents[Address])</f>
        <v>Ratnagiri, Maharashtra</v>
      </c>
    </row>
    <row r="115" spans="1:12" x14ac:dyDescent="0.3">
      <c r="A115" s="17">
        <v>114</v>
      </c>
      <c r="B115" s="23" t="s">
        <v>101</v>
      </c>
      <c r="C115" s="10" t="s">
        <v>102</v>
      </c>
      <c r="D115" s="10" t="s">
        <v>343</v>
      </c>
      <c r="E115" s="9">
        <v>9876501228</v>
      </c>
      <c r="F115" s="11">
        <v>46204</v>
      </c>
      <c r="G115" s="12">
        <v>0.77995370370370365</v>
      </c>
      <c r="H115" s="12">
        <v>0.78657407407407409</v>
      </c>
      <c r="I115" s="12" t="str">
        <f>TEXT(tblAttendance[[#This Row],[Date]],"mmm")</f>
        <v>Jul</v>
      </c>
      <c r="J115" s="12" t="str">
        <f>TEXT(tblAttendance[[#This Row],[Date]],"yyyy")</f>
        <v>2026</v>
      </c>
      <c r="K115" s="12" t="str">
        <f>TEXT(tblAttendance[[#This Row],[Date]],"dddd")</f>
        <v>Wednesday</v>
      </c>
      <c r="L115" s="29" t="str">
        <f>_xlfn.XLOOKUP(tblAttendance[[#This Row],[Student_ID]],tblStudents[Student_ID],tblStudents[Address])</f>
        <v>Sindhudurg, Maharashtra</v>
      </c>
    </row>
    <row r="116" spans="1:12" x14ac:dyDescent="0.3">
      <c r="A116" s="17">
        <v>115</v>
      </c>
      <c r="B116" s="23" t="s">
        <v>104</v>
      </c>
      <c r="C116" s="10" t="s">
        <v>105</v>
      </c>
      <c r="D116" s="10" t="s">
        <v>344</v>
      </c>
      <c r="E116" s="9">
        <v>9876501229</v>
      </c>
      <c r="F116" s="11">
        <v>46204</v>
      </c>
      <c r="G116" s="12">
        <v>0.78</v>
      </c>
      <c r="H116" s="12">
        <v>0.78664351851851855</v>
      </c>
      <c r="I116" s="12" t="str">
        <f>TEXT(tblAttendance[[#This Row],[Date]],"mmm")</f>
        <v>Jul</v>
      </c>
      <c r="J116" s="12" t="str">
        <f>TEXT(tblAttendance[[#This Row],[Date]],"yyyy")</f>
        <v>2026</v>
      </c>
      <c r="K116" s="12" t="str">
        <f>TEXT(tblAttendance[[#This Row],[Date]],"dddd")</f>
        <v>Wednesday</v>
      </c>
      <c r="L116" s="29" t="str">
        <f>_xlfn.XLOOKUP(tblAttendance[[#This Row],[Student_ID]],tblStudents[Student_ID],tblStudents[Address])</f>
        <v>Hingoli, Maharashtra</v>
      </c>
    </row>
    <row r="117" spans="1:12" x14ac:dyDescent="0.3">
      <c r="A117" s="17">
        <v>116</v>
      </c>
      <c r="B117" s="23" t="s">
        <v>107</v>
      </c>
      <c r="C117" s="10" t="s">
        <v>108</v>
      </c>
      <c r="D117" s="10" t="s">
        <v>344</v>
      </c>
      <c r="E117" s="9">
        <v>9876501230</v>
      </c>
      <c r="F117" s="11">
        <v>46204</v>
      </c>
      <c r="G117" s="12">
        <v>0.78004629629629629</v>
      </c>
      <c r="H117" s="12">
        <v>0.78670138888888885</v>
      </c>
      <c r="I117" s="12" t="str">
        <f>TEXT(tblAttendance[[#This Row],[Date]],"mmm")</f>
        <v>Jul</v>
      </c>
      <c r="J117" s="12" t="str">
        <f>TEXT(tblAttendance[[#This Row],[Date]],"yyyy")</f>
        <v>2026</v>
      </c>
      <c r="K117" s="12" t="str">
        <f>TEXT(tblAttendance[[#This Row],[Date]],"dddd")</f>
        <v>Wednesday</v>
      </c>
      <c r="L117" s="29" t="str">
        <f>_xlfn.XLOOKUP(tblAttendance[[#This Row],[Student_ID]],tblStudents[Student_ID],tblStudents[Address])</f>
        <v>Washim, Maharashtra</v>
      </c>
    </row>
    <row r="118" spans="1:12" x14ac:dyDescent="0.3">
      <c r="A118" s="17">
        <v>117</v>
      </c>
      <c r="B118" s="23" t="s">
        <v>110</v>
      </c>
      <c r="C118" s="10" t="s">
        <v>111</v>
      </c>
      <c r="D118" s="10" t="s">
        <v>346</v>
      </c>
      <c r="E118" s="9">
        <v>9876501231</v>
      </c>
      <c r="F118" s="11">
        <v>46204</v>
      </c>
      <c r="G118" s="12">
        <v>0.78008101851851852</v>
      </c>
      <c r="H118" s="12">
        <v>0.78674768518518523</v>
      </c>
      <c r="I118" s="12" t="str">
        <f>TEXT(tblAttendance[[#This Row],[Date]],"mmm")</f>
        <v>Jul</v>
      </c>
      <c r="J118" s="12" t="str">
        <f>TEXT(tblAttendance[[#This Row],[Date]],"yyyy")</f>
        <v>2026</v>
      </c>
      <c r="K118" s="12" t="str">
        <f>TEXT(tblAttendance[[#This Row],[Date]],"dddd")</f>
        <v>Wednesday</v>
      </c>
      <c r="L118" s="29" t="str">
        <f>_xlfn.XLOOKUP(tblAttendance[[#This Row],[Student_ID]],tblStudents[Student_ID],tblStudents[Address])</f>
        <v>Buldhana, Maharashtra</v>
      </c>
    </row>
    <row r="119" spans="1:12" x14ac:dyDescent="0.3">
      <c r="A119" s="17">
        <v>118</v>
      </c>
      <c r="B119" s="23" t="s">
        <v>113</v>
      </c>
      <c r="C119" s="10" t="s">
        <v>114</v>
      </c>
      <c r="D119" s="10" t="s">
        <v>347</v>
      </c>
      <c r="E119" s="9">
        <v>9876501232</v>
      </c>
      <c r="F119" s="11">
        <v>46204</v>
      </c>
      <c r="G119" s="12">
        <v>0.78012731481481479</v>
      </c>
      <c r="H119" s="12">
        <v>0.78682870370370372</v>
      </c>
      <c r="I119" s="12" t="str">
        <f>TEXT(tblAttendance[[#This Row],[Date]],"mmm")</f>
        <v>Jul</v>
      </c>
      <c r="J119" s="12" t="str">
        <f>TEXT(tblAttendance[[#This Row],[Date]],"yyyy")</f>
        <v>2026</v>
      </c>
      <c r="K119" s="12" t="str">
        <f>TEXT(tblAttendance[[#This Row],[Date]],"dddd")</f>
        <v>Wednesday</v>
      </c>
      <c r="L119" s="29" t="str">
        <f>_xlfn.XLOOKUP(tblAttendance[[#This Row],[Student_ID]],tblStudents[Student_ID],tblStudents[Address])</f>
        <v xml:space="preserve">Yavatmal, Maharashtra </v>
      </c>
    </row>
    <row r="120" spans="1:12" x14ac:dyDescent="0.3">
      <c r="A120" s="17">
        <v>119</v>
      </c>
      <c r="B120" s="23" t="s">
        <v>116</v>
      </c>
      <c r="C120" s="10" t="s">
        <v>117</v>
      </c>
      <c r="D120" s="10" t="s">
        <v>349</v>
      </c>
      <c r="E120" s="9">
        <v>9876501233</v>
      </c>
      <c r="F120" s="11">
        <v>46204</v>
      </c>
      <c r="G120" s="12">
        <v>0.7801851851851852</v>
      </c>
      <c r="H120" s="12">
        <v>0.78686342592592595</v>
      </c>
      <c r="I120" s="12" t="str">
        <f>TEXT(tblAttendance[[#This Row],[Date]],"mmm")</f>
        <v>Jul</v>
      </c>
      <c r="J120" s="12" t="str">
        <f>TEXT(tblAttendance[[#This Row],[Date]],"yyyy")</f>
        <v>2026</v>
      </c>
      <c r="K120" s="12" t="str">
        <f>TEXT(tblAttendance[[#This Row],[Date]],"dddd")</f>
        <v>Wednesday</v>
      </c>
      <c r="L120" s="29" t="str">
        <f>_xlfn.XLOOKUP(tblAttendance[[#This Row],[Student_ID]],tblStudents[Student_ID],tblStudents[Address])</f>
        <v>Gondia, Maharashtra</v>
      </c>
    </row>
    <row r="121" spans="1:12" x14ac:dyDescent="0.3">
      <c r="A121" s="17">
        <v>120</v>
      </c>
      <c r="B121" s="23" t="s">
        <v>119</v>
      </c>
      <c r="C121" s="10" t="s">
        <v>120</v>
      </c>
      <c r="D121" s="10" t="s">
        <v>342</v>
      </c>
      <c r="E121" s="9">
        <v>9876501234</v>
      </c>
      <c r="F121" s="11">
        <v>46204</v>
      </c>
      <c r="G121" s="12">
        <v>0.78024305555555551</v>
      </c>
      <c r="H121" s="12">
        <v>0.78694444444444445</v>
      </c>
      <c r="I121" s="12" t="str">
        <f>TEXT(tblAttendance[[#This Row],[Date]],"mmm")</f>
        <v>Jul</v>
      </c>
      <c r="J121" s="12" t="str">
        <f>TEXT(tblAttendance[[#This Row],[Date]],"yyyy")</f>
        <v>2026</v>
      </c>
      <c r="K121" s="12" t="str">
        <f>TEXT(tblAttendance[[#This Row],[Date]],"dddd")</f>
        <v>Wednesday</v>
      </c>
      <c r="L121" s="29" t="str">
        <f>_xlfn.XLOOKUP(tblAttendance[[#This Row],[Student_ID]],tblStudents[Student_ID],tblStudents[Address])</f>
        <v>Gadchiroli, Maharashtra</v>
      </c>
    </row>
    <row r="122" spans="1:12" x14ac:dyDescent="0.3">
      <c r="A122" s="17">
        <v>121</v>
      </c>
      <c r="B122" s="23" t="s">
        <v>122</v>
      </c>
      <c r="C122" s="10" t="s">
        <v>123</v>
      </c>
      <c r="D122" s="10" t="s">
        <v>340</v>
      </c>
      <c r="E122" s="9">
        <v>9876501235</v>
      </c>
      <c r="F122" s="11">
        <v>46204</v>
      </c>
      <c r="G122" s="12">
        <v>0.78032407407407411</v>
      </c>
      <c r="H122" s="12">
        <v>0.78700231481481486</v>
      </c>
      <c r="I122" s="12" t="str">
        <f>TEXT(tblAttendance[[#This Row],[Date]],"mmm")</f>
        <v>Jul</v>
      </c>
      <c r="J122" s="12" t="str">
        <f>TEXT(tblAttendance[[#This Row],[Date]],"yyyy")</f>
        <v>2026</v>
      </c>
      <c r="K122" s="12" t="str">
        <f>TEXT(tblAttendance[[#This Row],[Date]],"dddd")</f>
        <v>Wednesday</v>
      </c>
      <c r="L122" s="29" t="str">
        <f>_xlfn.XLOOKUP(tblAttendance[[#This Row],[Student_ID]],tblStudents[Student_ID],tblStudents[Address])</f>
        <v>Dhule, Maharashtra</v>
      </c>
    </row>
    <row r="123" spans="1:12" x14ac:dyDescent="0.3">
      <c r="A123" s="17">
        <v>122</v>
      </c>
      <c r="B123" s="23" t="s">
        <v>125</v>
      </c>
      <c r="C123" s="10" t="s">
        <v>126</v>
      </c>
      <c r="D123" s="10" t="s">
        <v>347</v>
      </c>
      <c r="E123" s="9">
        <v>9876501236</v>
      </c>
      <c r="F123" s="11">
        <v>46204</v>
      </c>
      <c r="G123" s="12">
        <v>0.78037037037037038</v>
      </c>
      <c r="H123" s="12">
        <v>0.78704861111111113</v>
      </c>
      <c r="I123" s="12" t="str">
        <f>TEXT(tblAttendance[[#This Row],[Date]],"mmm")</f>
        <v>Jul</v>
      </c>
      <c r="J123" s="12" t="str">
        <f>TEXT(tblAttendance[[#This Row],[Date]],"yyyy")</f>
        <v>2026</v>
      </c>
      <c r="K123" s="12" t="str">
        <f>TEXT(tblAttendance[[#This Row],[Date]],"dddd")</f>
        <v>Wednesday</v>
      </c>
      <c r="L123" s="29" t="str">
        <f>_xlfn.XLOOKUP(tblAttendance[[#This Row],[Student_ID]],tblStudents[Student_ID],tblStudents[Address])</f>
        <v>Pune, Maharashtra</v>
      </c>
    </row>
    <row r="124" spans="1:12" x14ac:dyDescent="0.3">
      <c r="A124" s="17">
        <v>123</v>
      </c>
      <c r="B124" s="23" t="s">
        <v>127</v>
      </c>
      <c r="C124" s="10" t="s">
        <v>128</v>
      </c>
      <c r="D124" s="10" t="s">
        <v>342</v>
      </c>
      <c r="E124" s="9">
        <v>9876501237</v>
      </c>
      <c r="F124" s="11">
        <v>46204</v>
      </c>
      <c r="G124" s="12">
        <v>0.78040509259259261</v>
      </c>
      <c r="H124" s="12">
        <v>0.7870949074074074</v>
      </c>
      <c r="I124" s="12" t="str">
        <f>TEXT(tblAttendance[[#This Row],[Date]],"mmm")</f>
        <v>Jul</v>
      </c>
      <c r="J124" s="12" t="str">
        <f>TEXT(tblAttendance[[#This Row],[Date]],"yyyy")</f>
        <v>2026</v>
      </c>
      <c r="K124" s="12" t="str">
        <f>TEXT(tblAttendance[[#This Row],[Date]],"dddd")</f>
        <v>Wednesday</v>
      </c>
      <c r="L124" s="29" t="str">
        <f>_xlfn.XLOOKUP(tblAttendance[[#This Row],[Student_ID]],tblStudents[Student_ID],tblStudents[Address])</f>
        <v>Pune, Maharashtra</v>
      </c>
    </row>
    <row r="125" spans="1:12" x14ac:dyDescent="0.3">
      <c r="A125" s="17">
        <v>124</v>
      </c>
      <c r="B125" s="23" t="s">
        <v>129</v>
      </c>
      <c r="C125" s="10" t="s">
        <v>130</v>
      </c>
      <c r="D125" s="10" t="s">
        <v>343</v>
      </c>
      <c r="E125" s="9">
        <v>9876501238</v>
      </c>
      <c r="F125" s="11">
        <v>46204</v>
      </c>
      <c r="G125" s="12">
        <v>0.78045138888888888</v>
      </c>
      <c r="H125" s="12">
        <v>0.78714120370370366</v>
      </c>
      <c r="I125" s="12" t="str">
        <f>TEXT(tblAttendance[[#This Row],[Date]],"mmm")</f>
        <v>Jul</v>
      </c>
      <c r="J125" s="12" t="str">
        <f>TEXT(tblAttendance[[#This Row],[Date]],"yyyy")</f>
        <v>2026</v>
      </c>
      <c r="K125" s="12" t="str">
        <f>TEXT(tblAttendance[[#This Row],[Date]],"dddd")</f>
        <v>Wednesday</v>
      </c>
      <c r="L125" s="29" t="str">
        <f>_xlfn.XLOOKUP(tblAttendance[[#This Row],[Student_ID]],tblStudents[Student_ID],tblStudents[Address])</f>
        <v>Ahilya Nagar, Maharashtra, Maharashtra</v>
      </c>
    </row>
    <row r="126" spans="1:12" x14ac:dyDescent="0.3">
      <c r="A126" s="17">
        <v>125</v>
      </c>
      <c r="B126" s="23" t="s">
        <v>132</v>
      </c>
      <c r="C126" s="10" t="s">
        <v>133</v>
      </c>
      <c r="D126" s="10" t="s">
        <v>344</v>
      </c>
      <c r="E126" s="9">
        <v>9876501239</v>
      </c>
      <c r="F126" s="11">
        <v>46204</v>
      </c>
      <c r="G126" s="12">
        <v>0.7804861111111111</v>
      </c>
      <c r="H126" s="12">
        <v>0.78722222222222227</v>
      </c>
      <c r="I126" s="12" t="str">
        <f>TEXT(tblAttendance[[#This Row],[Date]],"mmm")</f>
        <v>Jul</v>
      </c>
      <c r="J126" s="12" t="str">
        <f>TEXT(tblAttendance[[#This Row],[Date]],"yyyy")</f>
        <v>2026</v>
      </c>
      <c r="K126" s="12" t="str">
        <f>TEXT(tblAttendance[[#This Row],[Date]],"dddd")</f>
        <v>Wednesday</v>
      </c>
      <c r="L126" s="29" t="str">
        <f>_xlfn.XLOOKUP(tblAttendance[[#This Row],[Student_ID]],tblStudents[Student_ID],tblStudents[Address])</f>
        <v>Chhatrapati Sambhajinagar, Maharashtra</v>
      </c>
    </row>
    <row r="127" spans="1:12" x14ac:dyDescent="0.3">
      <c r="A127" s="17">
        <v>126</v>
      </c>
      <c r="B127" s="23" t="s">
        <v>134</v>
      </c>
      <c r="C127" s="10" t="s">
        <v>135</v>
      </c>
      <c r="D127" s="10" t="s">
        <v>340</v>
      </c>
      <c r="E127" s="9">
        <v>9876501240</v>
      </c>
      <c r="F127" s="11">
        <v>46204</v>
      </c>
      <c r="G127" s="12">
        <v>0.78054398148148152</v>
      </c>
      <c r="H127" s="12">
        <v>0.78726851851851853</v>
      </c>
      <c r="I127" s="12" t="str">
        <f>TEXT(tblAttendance[[#This Row],[Date]],"mmm")</f>
        <v>Jul</v>
      </c>
      <c r="J127" s="12" t="str">
        <f>TEXT(tblAttendance[[#This Row],[Date]],"yyyy")</f>
        <v>2026</v>
      </c>
      <c r="K127" s="12" t="str">
        <f>TEXT(tblAttendance[[#This Row],[Date]],"dddd")</f>
        <v>Wednesday</v>
      </c>
      <c r="L127" s="29" t="str">
        <f>_xlfn.XLOOKUP(tblAttendance[[#This Row],[Student_ID]],tblStudents[Student_ID],tblStudents[Address])</f>
        <v>Pune, Maharashtra</v>
      </c>
    </row>
    <row r="128" spans="1:12" x14ac:dyDescent="0.3">
      <c r="A128" s="17">
        <v>127</v>
      </c>
      <c r="B128" s="23" t="s">
        <v>136</v>
      </c>
      <c r="C128" s="10" t="s">
        <v>137</v>
      </c>
      <c r="D128" s="10" t="s">
        <v>342</v>
      </c>
      <c r="E128" s="9">
        <v>9876501241</v>
      </c>
      <c r="F128" s="11">
        <v>46204</v>
      </c>
      <c r="G128" s="12">
        <v>0.78057870370370375</v>
      </c>
      <c r="H128" s="12">
        <v>0.78778935185185184</v>
      </c>
      <c r="I128" s="12" t="str">
        <f>TEXT(tblAttendance[[#This Row],[Date]],"mmm")</f>
        <v>Jul</v>
      </c>
      <c r="J128" s="12" t="str">
        <f>TEXT(tblAttendance[[#This Row],[Date]],"yyyy")</f>
        <v>2026</v>
      </c>
      <c r="K128" s="12" t="str">
        <f>TEXT(tblAttendance[[#This Row],[Date]],"dddd")</f>
        <v>Wednesday</v>
      </c>
      <c r="L128" s="29" t="str">
        <f>_xlfn.XLOOKUP(tblAttendance[[#This Row],[Student_ID]],tblStudents[Student_ID],tblStudents[Address])</f>
        <v>Pune, Maharashtra</v>
      </c>
    </row>
    <row r="129" spans="1:12" x14ac:dyDescent="0.3">
      <c r="A129" s="17">
        <v>128</v>
      </c>
      <c r="B129" s="23" t="s">
        <v>138</v>
      </c>
      <c r="C129" s="10" t="s">
        <v>139</v>
      </c>
      <c r="D129" s="10" t="s">
        <v>343</v>
      </c>
      <c r="E129" s="9">
        <v>9876501242</v>
      </c>
      <c r="F129" s="11">
        <v>46204</v>
      </c>
      <c r="G129" s="12">
        <v>0.78062500000000001</v>
      </c>
      <c r="H129" s="12">
        <v>0.78790509259259256</v>
      </c>
      <c r="I129" s="12" t="str">
        <f>TEXT(tblAttendance[[#This Row],[Date]],"mmm")</f>
        <v>Jul</v>
      </c>
      <c r="J129" s="12" t="str">
        <f>TEXT(tblAttendance[[#This Row],[Date]],"yyyy")</f>
        <v>2026</v>
      </c>
      <c r="K129" s="12" t="str">
        <f>TEXT(tblAttendance[[#This Row],[Date]],"dddd")</f>
        <v>Wednesday</v>
      </c>
      <c r="L129" s="29" t="str">
        <f>_xlfn.XLOOKUP(tblAttendance[[#This Row],[Student_ID]],tblStudents[Student_ID],tblStudents[Address])</f>
        <v>Ahilya Nagar, Maharashtra, Maharashtra</v>
      </c>
    </row>
    <row r="130" spans="1:12" x14ac:dyDescent="0.3">
      <c r="A130" s="17">
        <v>129</v>
      </c>
      <c r="B130" s="23" t="s">
        <v>140</v>
      </c>
      <c r="C130" s="10" t="s">
        <v>141</v>
      </c>
      <c r="D130" s="10" t="s">
        <v>348</v>
      </c>
      <c r="E130" s="9">
        <v>9876501243</v>
      </c>
      <c r="F130" s="11">
        <v>46204</v>
      </c>
      <c r="G130" s="12">
        <v>0.78067129629629628</v>
      </c>
      <c r="H130" s="12">
        <v>0.78793981481481479</v>
      </c>
      <c r="I130" s="12" t="str">
        <f>TEXT(tblAttendance[[#This Row],[Date]],"mmm")</f>
        <v>Jul</v>
      </c>
      <c r="J130" s="12" t="str">
        <f>TEXT(tblAttendance[[#This Row],[Date]],"yyyy")</f>
        <v>2026</v>
      </c>
      <c r="K130" s="12" t="str">
        <f>TEXT(tblAttendance[[#This Row],[Date]],"dddd")</f>
        <v>Wednesday</v>
      </c>
      <c r="L130" s="29" t="str">
        <f>_xlfn.XLOOKUP(tblAttendance[[#This Row],[Student_ID]],tblStudents[Student_ID],tblStudents[Address])</f>
        <v>Chhatrapati Sambhajinagar, Maharashtra</v>
      </c>
    </row>
    <row r="131" spans="1:12" x14ac:dyDescent="0.3">
      <c r="A131" s="17">
        <v>130</v>
      </c>
      <c r="B131" s="23" t="s">
        <v>142</v>
      </c>
      <c r="C131" s="10" t="s">
        <v>143</v>
      </c>
      <c r="D131" s="10" t="s">
        <v>347</v>
      </c>
      <c r="E131" s="9">
        <v>9876501244</v>
      </c>
      <c r="F131" s="11">
        <v>46204</v>
      </c>
      <c r="G131" s="12">
        <v>0.78070601851851851</v>
      </c>
      <c r="H131" s="12">
        <v>0.78805555555555551</v>
      </c>
      <c r="I131" s="12" t="str">
        <f>TEXT(tblAttendance[[#This Row],[Date]],"mmm")</f>
        <v>Jul</v>
      </c>
      <c r="J131" s="12" t="str">
        <f>TEXT(tblAttendance[[#This Row],[Date]],"yyyy")</f>
        <v>2026</v>
      </c>
      <c r="K131" s="12" t="str">
        <f>TEXT(tblAttendance[[#This Row],[Date]],"dddd")</f>
        <v>Wednesday</v>
      </c>
      <c r="L131" s="29" t="str">
        <f>_xlfn.XLOOKUP(tblAttendance[[#This Row],[Student_ID]],tblStudents[Student_ID],tblStudents[Address])</f>
        <v>Pune, Maharashtra</v>
      </c>
    </row>
    <row r="132" spans="1:12" x14ac:dyDescent="0.3">
      <c r="A132" s="17">
        <v>131</v>
      </c>
      <c r="B132" s="23" t="s">
        <v>144</v>
      </c>
      <c r="C132" s="10" t="s">
        <v>145</v>
      </c>
      <c r="D132" s="10" t="s">
        <v>343</v>
      </c>
      <c r="E132" s="9">
        <v>9876501245</v>
      </c>
      <c r="F132" s="11">
        <v>46204</v>
      </c>
      <c r="G132" s="12">
        <v>0.78076388888888892</v>
      </c>
      <c r="H132" s="12">
        <v>0.78810185185185189</v>
      </c>
      <c r="I132" s="12" t="str">
        <f>TEXT(tblAttendance[[#This Row],[Date]],"mmm")</f>
        <v>Jul</v>
      </c>
      <c r="J132" s="12" t="str">
        <f>TEXT(tblAttendance[[#This Row],[Date]],"yyyy")</f>
        <v>2026</v>
      </c>
      <c r="K132" s="12" t="str">
        <f>TEXT(tblAttendance[[#This Row],[Date]],"dddd")</f>
        <v>Wednesday</v>
      </c>
      <c r="L132" s="29" t="str">
        <f>_xlfn.XLOOKUP(tblAttendance[[#This Row],[Student_ID]],tblStudents[Student_ID],tblStudents[Address])</f>
        <v>Pune, Maharashtra</v>
      </c>
    </row>
    <row r="133" spans="1:12" x14ac:dyDescent="0.3">
      <c r="A133" s="17">
        <v>132</v>
      </c>
      <c r="B133" s="23" t="s">
        <v>146</v>
      </c>
      <c r="C133" s="10" t="s">
        <v>147</v>
      </c>
      <c r="D133" s="10" t="s">
        <v>344</v>
      </c>
      <c r="E133" s="9">
        <v>9876501246</v>
      </c>
      <c r="F133" s="11">
        <v>46204</v>
      </c>
      <c r="G133" s="12">
        <v>0.78081018518518519</v>
      </c>
      <c r="H133" s="12">
        <v>0.78815972222222219</v>
      </c>
      <c r="I133" s="12" t="str">
        <f>TEXT(tblAttendance[[#This Row],[Date]],"mmm")</f>
        <v>Jul</v>
      </c>
      <c r="J133" s="12" t="str">
        <f>TEXT(tblAttendance[[#This Row],[Date]],"yyyy")</f>
        <v>2026</v>
      </c>
      <c r="K133" s="12" t="str">
        <f>TEXT(tblAttendance[[#This Row],[Date]],"dddd")</f>
        <v>Wednesday</v>
      </c>
      <c r="L133" s="29" t="str">
        <f>_xlfn.XLOOKUP(tblAttendance[[#This Row],[Student_ID]],tblStudents[Student_ID],tblStudents[Address])</f>
        <v>Ahilya Nagar, Maharashtra, Maharashtra</v>
      </c>
    </row>
    <row r="134" spans="1:12" x14ac:dyDescent="0.3">
      <c r="A134" s="17">
        <v>133</v>
      </c>
      <c r="B134" s="23" t="s">
        <v>148</v>
      </c>
      <c r="C134" s="10" t="s">
        <v>149</v>
      </c>
      <c r="D134" s="10" t="s">
        <v>347</v>
      </c>
      <c r="E134" s="9">
        <v>9876501247</v>
      </c>
      <c r="F134" s="11">
        <v>46204</v>
      </c>
      <c r="G134" s="12">
        <v>0.78084490740740742</v>
      </c>
      <c r="H134" s="12">
        <v>0.78821759259259261</v>
      </c>
      <c r="I134" s="12" t="str">
        <f>TEXT(tblAttendance[[#This Row],[Date]],"mmm")</f>
        <v>Jul</v>
      </c>
      <c r="J134" s="12" t="str">
        <f>TEXT(tblAttendance[[#This Row],[Date]],"yyyy")</f>
        <v>2026</v>
      </c>
      <c r="K134" s="12" t="str">
        <f>TEXT(tblAttendance[[#This Row],[Date]],"dddd")</f>
        <v>Wednesday</v>
      </c>
      <c r="L134" s="29" t="str">
        <f>_xlfn.XLOOKUP(tblAttendance[[#This Row],[Student_ID]],tblStudents[Student_ID],tblStudents[Address])</f>
        <v>Chhatrapati Sambhajinagar, Maharashtra</v>
      </c>
    </row>
    <row r="135" spans="1:12" x14ac:dyDescent="0.3">
      <c r="A135" s="17">
        <v>134</v>
      </c>
      <c r="B135" s="23" t="s">
        <v>150</v>
      </c>
      <c r="C135" s="10" t="s">
        <v>151</v>
      </c>
      <c r="D135" s="10" t="s">
        <v>343</v>
      </c>
      <c r="E135" s="9">
        <v>9876501248</v>
      </c>
      <c r="F135" s="11">
        <v>46204</v>
      </c>
      <c r="G135" s="12">
        <v>0.78089120370370368</v>
      </c>
      <c r="H135" s="12">
        <v>0.7882986111111111</v>
      </c>
      <c r="I135" s="12" t="str">
        <f>TEXT(tblAttendance[[#This Row],[Date]],"mmm")</f>
        <v>Jul</v>
      </c>
      <c r="J135" s="12" t="str">
        <f>TEXT(tblAttendance[[#This Row],[Date]],"yyyy")</f>
        <v>2026</v>
      </c>
      <c r="K135" s="12" t="str">
        <f>TEXT(tblAttendance[[#This Row],[Date]],"dddd")</f>
        <v>Wednesday</v>
      </c>
      <c r="L135" s="29" t="str">
        <f>_xlfn.XLOOKUP(tblAttendance[[#This Row],[Student_ID]],tblStudents[Student_ID],tblStudents[Address])</f>
        <v>Pune, Maharashtra</v>
      </c>
    </row>
    <row r="136" spans="1:12" x14ac:dyDescent="0.3">
      <c r="A136" s="17">
        <v>135</v>
      </c>
      <c r="B136" s="23" t="s">
        <v>152</v>
      </c>
      <c r="C136" s="10" t="s">
        <v>153</v>
      </c>
      <c r="D136" s="10" t="s">
        <v>341</v>
      </c>
      <c r="E136" s="9">
        <v>9876501249</v>
      </c>
      <c r="F136" s="11">
        <v>46204</v>
      </c>
      <c r="G136" s="12">
        <v>0.78100694444444441</v>
      </c>
      <c r="H136" s="12">
        <v>0.78835648148148152</v>
      </c>
      <c r="I136" s="12" t="str">
        <f>TEXT(tblAttendance[[#This Row],[Date]],"mmm")</f>
        <v>Jul</v>
      </c>
      <c r="J136" s="12" t="str">
        <f>TEXT(tblAttendance[[#This Row],[Date]],"yyyy")</f>
        <v>2026</v>
      </c>
      <c r="K136" s="12" t="str">
        <f>TEXT(tblAttendance[[#This Row],[Date]],"dddd")</f>
        <v>Wednesday</v>
      </c>
      <c r="L136" s="29" t="str">
        <f>_xlfn.XLOOKUP(tblAttendance[[#This Row],[Student_ID]],tblStudents[Student_ID],tblStudents[Address])</f>
        <v>Pune, Maharashtra</v>
      </c>
    </row>
    <row r="137" spans="1:12" x14ac:dyDescent="0.3">
      <c r="A137" s="17">
        <v>136</v>
      </c>
      <c r="B137" s="23" t="s">
        <v>154</v>
      </c>
      <c r="C137" s="10" t="s">
        <v>155</v>
      </c>
      <c r="D137" s="10" t="s">
        <v>340</v>
      </c>
      <c r="E137" s="9">
        <v>9876501250</v>
      </c>
      <c r="F137" s="11">
        <v>46204</v>
      </c>
      <c r="G137" s="12">
        <v>0.78111111111111109</v>
      </c>
      <c r="H137" s="12">
        <v>0.78849537037037032</v>
      </c>
      <c r="I137" s="12" t="str">
        <f>TEXT(tblAttendance[[#This Row],[Date]],"mmm")</f>
        <v>Jul</v>
      </c>
      <c r="J137" s="12" t="str">
        <f>TEXT(tblAttendance[[#This Row],[Date]],"yyyy")</f>
        <v>2026</v>
      </c>
      <c r="K137" s="12" t="str">
        <f>TEXT(tblAttendance[[#This Row],[Date]],"dddd")</f>
        <v>Wednesday</v>
      </c>
      <c r="L137" s="29" t="str">
        <f>_xlfn.XLOOKUP(tblAttendance[[#This Row],[Student_ID]],tblStudents[Student_ID],tblStudents[Address])</f>
        <v>Ahilya Nagar, Maharashtra, Maharashtra</v>
      </c>
    </row>
    <row r="138" spans="1:12" x14ac:dyDescent="0.3">
      <c r="A138" s="17">
        <v>137</v>
      </c>
      <c r="B138" s="23" t="s">
        <v>156</v>
      </c>
      <c r="C138" s="10" t="s">
        <v>157</v>
      </c>
      <c r="D138" s="10" t="s">
        <v>340</v>
      </c>
      <c r="E138" s="9">
        <v>9876501251</v>
      </c>
      <c r="F138" s="11">
        <v>46204</v>
      </c>
      <c r="G138" s="12">
        <v>0.78114583333333332</v>
      </c>
      <c r="H138" s="12">
        <v>0.7885416666666667</v>
      </c>
      <c r="I138" s="12" t="str">
        <f>TEXT(tblAttendance[[#This Row],[Date]],"mmm")</f>
        <v>Jul</v>
      </c>
      <c r="J138" s="12" t="str">
        <f>TEXT(tblAttendance[[#This Row],[Date]],"yyyy")</f>
        <v>2026</v>
      </c>
      <c r="K138" s="12" t="str">
        <f>TEXT(tblAttendance[[#This Row],[Date]],"dddd")</f>
        <v>Wednesday</v>
      </c>
      <c r="L138" s="29" t="str">
        <f>_xlfn.XLOOKUP(tblAttendance[[#This Row],[Student_ID]],tblStudents[Student_ID],tblStudents[Address])</f>
        <v>Chhatrapati Sambhajinagar, Maharashtra</v>
      </c>
    </row>
    <row r="139" spans="1:12" x14ac:dyDescent="0.3">
      <c r="A139" s="17">
        <v>138</v>
      </c>
      <c r="B139" s="23" t="s">
        <v>158</v>
      </c>
      <c r="C139" s="10" t="s">
        <v>159</v>
      </c>
      <c r="D139" s="10" t="s">
        <v>341</v>
      </c>
      <c r="E139" s="9">
        <v>9876501252</v>
      </c>
      <c r="F139" s="11">
        <v>46204</v>
      </c>
      <c r="G139" s="12">
        <v>0.78119212962962958</v>
      </c>
      <c r="H139" s="12">
        <v>0.78858796296296296</v>
      </c>
      <c r="I139" s="12" t="str">
        <f>TEXT(tblAttendance[[#This Row],[Date]],"mmm")</f>
        <v>Jul</v>
      </c>
      <c r="J139" s="12" t="str">
        <f>TEXT(tblAttendance[[#This Row],[Date]],"yyyy")</f>
        <v>2026</v>
      </c>
      <c r="K139" s="12" t="str">
        <f>TEXT(tblAttendance[[#This Row],[Date]],"dddd")</f>
        <v>Wednesday</v>
      </c>
      <c r="L139" s="29" t="str">
        <f>_xlfn.XLOOKUP(tblAttendance[[#This Row],[Student_ID]],tblStudents[Student_ID],tblStudents[Address])</f>
        <v>Pune, Maharashtra</v>
      </c>
    </row>
    <row r="140" spans="1:12" x14ac:dyDescent="0.3">
      <c r="A140" s="17">
        <v>139</v>
      </c>
      <c r="B140" s="23" t="s">
        <v>160</v>
      </c>
      <c r="C140" s="10" t="s">
        <v>161</v>
      </c>
      <c r="D140" s="10" t="s">
        <v>347</v>
      </c>
      <c r="E140" s="9">
        <v>9876501253</v>
      </c>
      <c r="F140" s="11">
        <v>46204</v>
      </c>
      <c r="G140" s="12">
        <v>0.78125</v>
      </c>
      <c r="H140" s="12">
        <v>0.78863425925925923</v>
      </c>
      <c r="I140" s="12" t="str">
        <f>TEXT(tblAttendance[[#This Row],[Date]],"mmm")</f>
        <v>Jul</v>
      </c>
      <c r="J140" s="12" t="str">
        <f>TEXT(tblAttendance[[#This Row],[Date]],"yyyy")</f>
        <v>2026</v>
      </c>
      <c r="K140" s="12" t="str">
        <f>TEXT(tblAttendance[[#This Row],[Date]],"dddd")</f>
        <v>Wednesday</v>
      </c>
      <c r="L140" s="29" t="str">
        <f>_xlfn.XLOOKUP(tblAttendance[[#This Row],[Student_ID]],tblStudents[Student_ID],tblStudents[Address])</f>
        <v>Pune, Maharashtra</v>
      </c>
    </row>
    <row r="141" spans="1:12" x14ac:dyDescent="0.3">
      <c r="A141" s="17">
        <v>140</v>
      </c>
      <c r="B141" s="23" t="s">
        <v>162</v>
      </c>
      <c r="C141" s="10" t="s">
        <v>163</v>
      </c>
      <c r="D141" s="10" t="s">
        <v>346</v>
      </c>
      <c r="E141" s="9">
        <v>9876501254</v>
      </c>
      <c r="F141" s="11">
        <v>46204</v>
      </c>
      <c r="G141" s="12">
        <v>0.78128472222222223</v>
      </c>
      <c r="H141" s="12">
        <v>0.78868055555555561</v>
      </c>
      <c r="I141" s="12" t="str">
        <f>TEXT(tblAttendance[[#This Row],[Date]],"mmm")</f>
        <v>Jul</v>
      </c>
      <c r="J141" s="12" t="str">
        <f>TEXT(tblAttendance[[#This Row],[Date]],"yyyy")</f>
        <v>2026</v>
      </c>
      <c r="K141" s="12" t="str">
        <f>TEXT(tblAttendance[[#This Row],[Date]],"dddd")</f>
        <v>Wednesday</v>
      </c>
      <c r="L141" s="29" t="str">
        <f>_xlfn.XLOOKUP(tblAttendance[[#This Row],[Student_ID]],tblStudents[Student_ID],tblStudents[Address])</f>
        <v>Ahilya Nagar, Maharashtra, Maharashtra</v>
      </c>
    </row>
    <row r="142" spans="1:12" x14ac:dyDescent="0.3">
      <c r="A142" s="17">
        <v>141</v>
      </c>
      <c r="B142" s="23" t="s">
        <v>164</v>
      </c>
      <c r="C142" s="10" t="s">
        <v>165</v>
      </c>
      <c r="D142" s="10" t="s">
        <v>343</v>
      </c>
      <c r="E142" s="9">
        <v>9876501255</v>
      </c>
      <c r="F142" s="11">
        <v>46204</v>
      </c>
      <c r="G142" s="12">
        <v>0.78133101851851849</v>
      </c>
      <c r="H142" s="12">
        <v>0.78873842592592591</v>
      </c>
      <c r="I142" s="12" t="str">
        <f>TEXT(tblAttendance[[#This Row],[Date]],"mmm")</f>
        <v>Jul</v>
      </c>
      <c r="J142" s="12" t="str">
        <f>TEXT(tblAttendance[[#This Row],[Date]],"yyyy")</f>
        <v>2026</v>
      </c>
      <c r="K142" s="12" t="str">
        <f>TEXT(tblAttendance[[#This Row],[Date]],"dddd")</f>
        <v>Wednesday</v>
      </c>
      <c r="L142" s="29" t="str">
        <f>_xlfn.XLOOKUP(tblAttendance[[#This Row],[Student_ID]],tblStudents[Student_ID],tblStudents[Address])</f>
        <v>Chhatrapati Sambhajinagar, Maharashtra</v>
      </c>
    </row>
    <row r="143" spans="1:12" x14ac:dyDescent="0.3">
      <c r="A143" s="17">
        <v>142</v>
      </c>
      <c r="B143" s="23" t="s">
        <v>166</v>
      </c>
      <c r="C143" s="10" t="s">
        <v>167</v>
      </c>
      <c r="D143" s="10" t="s">
        <v>346</v>
      </c>
      <c r="E143" s="9">
        <v>9876501256</v>
      </c>
      <c r="F143" s="11">
        <v>46204</v>
      </c>
      <c r="G143" s="12">
        <v>0.78137731481481476</v>
      </c>
      <c r="H143" s="12">
        <v>0.78877314814814814</v>
      </c>
      <c r="I143" s="12" t="str">
        <f>TEXT(tblAttendance[[#This Row],[Date]],"mmm")</f>
        <v>Jul</v>
      </c>
      <c r="J143" s="12" t="str">
        <f>TEXT(tblAttendance[[#This Row],[Date]],"yyyy")</f>
        <v>2026</v>
      </c>
      <c r="K143" s="12" t="str">
        <f>TEXT(tblAttendance[[#This Row],[Date]],"dddd")</f>
        <v>Wednesday</v>
      </c>
      <c r="L143" s="29" t="str">
        <f>_xlfn.XLOOKUP(tblAttendance[[#This Row],[Student_ID]],tblStudents[Student_ID],tblStudents[Address])</f>
        <v>Pune, Maharashtra</v>
      </c>
    </row>
    <row r="144" spans="1:12" x14ac:dyDescent="0.3">
      <c r="A144" s="17">
        <v>143</v>
      </c>
      <c r="B144" s="23" t="s">
        <v>168</v>
      </c>
      <c r="C144" s="10" t="s">
        <v>169</v>
      </c>
      <c r="D144" s="10" t="s">
        <v>349</v>
      </c>
      <c r="E144" s="9">
        <v>9876501257</v>
      </c>
      <c r="F144" s="11">
        <v>46204</v>
      </c>
      <c r="G144" s="12">
        <v>0.78140046296296295</v>
      </c>
      <c r="H144" s="12">
        <v>0.78883101851851856</v>
      </c>
      <c r="I144" s="12" t="str">
        <f>TEXT(tblAttendance[[#This Row],[Date]],"mmm")</f>
        <v>Jul</v>
      </c>
      <c r="J144" s="12" t="str">
        <f>TEXT(tblAttendance[[#This Row],[Date]],"yyyy")</f>
        <v>2026</v>
      </c>
      <c r="K144" s="12" t="str">
        <f>TEXT(tblAttendance[[#This Row],[Date]],"dddd")</f>
        <v>Wednesday</v>
      </c>
      <c r="L144" s="29" t="str">
        <f>_xlfn.XLOOKUP(tblAttendance[[#This Row],[Student_ID]],tblStudents[Student_ID],tblStudents[Address])</f>
        <v>Pune, Maharashtra</v>
      </c>
    </row>
    <row r="145" spans="1:12" x14ac:dyDescent="0.3">
      <c r="A145" s="17">
        <v>144</v>
      </c>
      <c r="B145" s="23" t="s">
        <v>170</v>
      </c>
      <c r="C145" s="10" t="s">
        <v>171</v>
      </c>
      <c r="D145" s="10" t="s">
        <v>346</v>
      </c>
      <c r="E145" s="9">
        <v>9876501258</v>
      </c>
      <c r="F145" s="11">
        <v>46204</v>
      </c>
      <c r="G145" s="12">
        <v>0.78144675925925922</v>
      </c>
      <c r="H145" s="12">
        <v>0.78887731481481482</v>
      </c>
      <c r="I145" s="12" t="str">
        <f>TEXT(tblAttendance[[#This Row],[Date]],"mmm")</f>
        <v>Jul</v>
      </c>
      <c r="J145" s="12" t="str">
        <f>TEXT(tblAttendance[[#This Row],[Date]],"yyyy")</f>
        <v>2026</v>
      </c>
      <c r="K145" s="12" t="str">
        <f>TEXT(tblAttendance[[#This Row],[Date]],"dddd")</f>
        <v>Wednesday</v>
      </c>
      <c r="L145" s="29" t="str">
        <f>_xlfn.XLOOKUP(tblAttendance[[#This Row],[Student_ID]],tblStudents[Student_ID],tblStudents[Address])</f>
        <v>Ahilya Nagar, Maharashtra, Maharashtra</v>
      </c>
    </row>
    <row r="146" spans="1:12" x14ac:dyDescent="0.3">
      <c r="A146" s="17">
        <v>145</v>
      </c>
      <c r="B146" s="23" t="s">
        <v>172</v>
      </c>
      <c r="C146" s="10" t="s">
        <v>173</v>
      </c>
      <c r="D146" s="10" t="s">
        <v>340</v>
      </c>
      <c r="E146" s="9">
        <v>9876501259</v>
      </c>
      <c r="F146" s="11">
        <v>46204</v>
      </c>
      <c r="G146" s="12">
        <v>0.78150462962962963</v>
      </c>
      <c r="H146" s="12">
        <v>0.78892361111111109</v>
      </c>
      <c r="I146" s="12" t="str">
        <f>TEXT(tblAttendance[[#This Row],[Date]],"mmm")</f>
        <v>Jul</v>
      </c>
      <c r="J146" s="12" t="str">
        <f>TEXT(tblAttendance[[#This Row],[Date]],"yyyy")</f>
        <v>2026</v>
      </c>
      <c r="K146" s="12" t="str">
        <f>TEXT(tblAttendance[[#This Row],[Date]],"dddd")</f>
        <v>Wednesday</v>
      </c>
      <c r="L146" s="29" t="str">
        <f>_xlfn.XLOOKUP(tblAttendance[[#This Row],[Student_ID]],tblStudents[Student_ID],tblStudents[Address])</f>
        <v>Chhatrapati Sambhajinagar, Maharashtra</v>
      </c>
    </row>
    <row r="147" spans="1:12" x14ac:dyDescent="0.3">
      <c r="A147" s="17">
        <v>146</v>
      </c>
      <c r="B147" s="23" t="s">
        <v>174</v>
      </c>
      <c r="C147" s="10" t="s">
        <v>175</v>
      </c>
      <c r="D147" s="10" t="s">
        <v>344</v>
      </c>
      <c r="E147" s="9">
        <v>9876501260</v>
      </c>
      <c r="F147" s="11">
        <v>46204</v>
      </c>
      <c r="G147" s="12">
        <v>0.78162037037037035</v>
      </c>
      <c r="H147" s="12">
        <v>0.78900462962962958</v>
      </c>
      <c r="I147" s="12" t="str">
        <f>TEXT(tblAttendance[[#This Row],[Date]],"mmm")</f>
        <v>Jul</v>
      </c>
      <c r="J147" s="12" t="str">
        <f>TEXT(tblAttendance[[#This Row],[Date]],"yyyy")</f>
        <v>2026</v>
      </c>
      <c r="K147" s="12" t="str">
        <f>TEXT(tblAttendance[[#This Row],[Date]],"dddd")</f>
        <v>Wednesday</v>
      </c>
      <c r="L147" s="29" t="str">
        <f>_xlfn.XLOOKUP(tblAttendance[[#This Row],[Student_ID]],tblStudents[Student_ID],tblStudents[Address])</f>
        <v>Pune, Maharashtra</v>
      </c>
    </row>
    <row r="148" spans="1:12" x14ac:dyDescent="0.3">
      <c r="A148" s="17">
        <v>147</v>
      </c>
      <c r="B148" s="23" t="s">
        <v>176</v>
      </c>
      <c r="C148" s="10" t="s">
        <v>177</v>
      </c>
      <c r="D148" s="10" t="s">
        <v>347</v>
      </c>
      <c r="E148" s="9">
        <v>9876501261</v>
      </c>
      <c r="F148" s="11">
        <v>46204</v>
      </c>
      <c r="G148" s="12">
        <v>0.78166666666666662</v>
      </c>
      <c r="H148" s="12">
        <v>0.78905092592592596</v>
      </c>
      <c r="I148" s="12" t="str">
        <f>TEXT(tblAttendance[[#This Row],[Date]],"mmm")</f>
        <v>Jul</v>
      </c>
      <c r="J148" s="12" t="str">
        <f>TEXT(tblAttendance[[#This Row],[Date]],"yyyy")</f>
        <v>2026</v>
      </c>
      <c r="K148" s="12" t="str">
        <f>TEXT(tblAttendance[[#This Row],[Date]],"dddd")</f>
        <v>Wednesday</v>
      </c>
      <c r="L148" s="29" t="str">
        <f>_xlfn.XLOOKUP(tblAttendance[[#This Row],[Student_ID]],tblStudents[Student_ID],tblStudents[Address])</f>
        <v>Pune, Maharashtra</v>
      </c>
    </row>
    <row r="149" spans="1:12" x14ac:dyDescent="0.3">
      <c r="A149" s="17">
        <v>148</v>
      </c>
      <c r="B149" s="23" t="s">
        <v>178</v>
      </c>
      <c r="C149" s="10" t="s">
        <v>179</v>
      </c>
      <c r="D149" s="10" t="s">
        <v>341</v>
      </c>
      <c r="E149" s="9">
        <v>9876501262</v>
      </c>
      <c r="F149" s="11">
        <v>46204</v>
      </c>
      <c r="G149" s="12">
        <v>0.78170138888888885</v>
      </c>
      <c r="H149" s="12">
        <v>0.78909722222222223</v>
      </c>
      <c r="I149" s="12" t="str">
        <f>TEXT(tblAttendance[[#This Row],[Date]],"mmm")</f>
        <v>Jul</v>
      </c>
      <c r="J149" s="12" t="str">
        <f>TEXT(tblAttendance[[#This Row],[Date]],"yyyy")</f>
        <v>2026</v>
      </c>
      <c r="K149" s="12" t="str">
        <f>TEXT(tblAttendance[[#This Row],[Date]],"dddd")</f>
        <v>Wednesday</v>
      </c>
      <c r="L149" s="29" t="str">
        <f>_xlfn.XLOOKUP(tblAttendance[[#This Row],[Student_ID]],tblStudents[Student_ID],tblStudents[Address])</f>
        <v>Ahilya Nagar, Maharashtra, Maharashtra</v>
      </c>
    </row>
    <row r="150" spans="1:12" x14ac:dyDescent="0.3">
      <c r="A150" s="17">
        <v>149</v>
      </c>
      <c r="B150" s="23" t="s">
        <v>180</v>
      </c>
      <c r="C150" s="10" t="s">
        <v>181</v>
      </c>
      <c r="D150" s="10" t="s">
        <v>343</v>
      </c>
      <c r="E150" s="9">
        <v>9876501263</v>
      </c>
      <c r="F150" s="11">
        <v>46204</v>
      </c>
      <c r="G150" s="12">
        <v>0.78173611111111108</v>
      </c>
      <c r="H150" s="12">
        <v>0.78914351851851849</v>
      </c>
      <c r="I150" s="12" t="str">
        <f>TEXT(tblAttendance[[#This Row],[Date]],"mmm")</f>
        <v>Jul</v>
      </c>
      <c r="J150" s="12" t="str">
        <f>TEXT(tblAttendance[[#This Row],[Date]],"yyyy")</f>
        <v>2026</v>
      </c>
      <c r="K150" s="12" t="str">
        <f>TEXT(tblAttendance[[#This Row],[Date]],"dddd")</f>
        <v>Wednesday</v>
      </c>
      <c r="L150" s="29" t="str">
        <f>_xlfn.XLOOKUP(tblAttendance[[#This Row],[Student_ID]],tblStudents[Student_ID],tblStudents[Address])</f>
        <v>Chhatrapati Sambhajinagar, Maharashtra</v>
      </c>
    </row>
    <row r="151" spans="1:12" x14ac:dyDescent="0.3">
      <c r="A151" s="17">
        <v>150</v>
      </c>
      <c r="B151" s="23" t="s">
        <v>182</v>
      </c>
      <c r="C151" s="10" t="s">
        <v>183</v>
      </c>
      <c r="D151" s="10" t="s">
        <v>344</v>
      </c>
      <c r="E151" s="9">
        <v>9876501264</v>
      </c>
      <c r="F151" s="11">
        <v>46204</v>
      </c>
      <c r="G151" s="12">
        <v>0.7817708333333333</v>
      </c>
      <c r="H151" s="12">
        <v>0.78920138888888891</v>
      </c>
      <c r="I151" s="12" t="str">
        <f>TEXT(tblAttendance[[#This Row],[Date]],"mmm")</f>
        <v>Jul</v>
      </c>
      <c r="J151" s="12" t="str">
        <f>TEXT(tblAttendance[[#This Row],[Date]],"yyyy")</f>
        <v>2026</v>
      </c>
      <c r="K151" s="12" t="str">
        <f>TEXT(tblAttendance[[#This Row],[Date]],"dddd")</f>
        <v>Wednesday</v>
      </c>
      <c r="L151" s="29" t="str">
        <f>_xlfn.XLOOKUP(tblAttendance[[#This Row],[Student_ID]],tblStudents[Student_ID],tblStudents[Address])</f>
        <v>Pune, Maharashtra</v>
      </c>
    </row>
    <row r="152" spans="1:12" x14ac:dyDescent="0.3">
      <c r="A152" s="17">
        <v>151</v>
      </c>
      <c r="B152" s="23" t="s">
        <v>184</v>
      </c>
      <c r="C152" s="10" t="s">
        <v>185</v>
      </c>
      <c r="D152" s="10" t="s">
        <v>343</v>
      </c>
      <c r="E152" s="9">
        <v>9876501265</v>
      </c>
      <c r="F152" s="11">
        <v>46204</v>
      </c>
      <c r="G152" s="12">
        <v>0.78181712962962968</v>
      </c>
      <c r="H152" s="12">
        <v>0.78924768518518518</v>
      </c>
      <c r="I152" s="12" t="str">
        <f>TEXT(tblAttendance[[#This Row],[Date]],"mmm")</f>
        <v>Jul</v>
      </c>
      <c r="J152" s="12" t="str">
        <f>TEXT(tblAttendance[[#This Row],[Date]],"yyyy")</f>
        <v>2026</v>
      </c>
      <c r="K152" s="12" t="str">
        <f>TEXT(tblAttendance[[#This Row],[Date]],"dddd")</f>
        <v>Wednesday</v>
      </c>
      <c r="L152" s="29" t="str">
        <f>_xlfn.XLOOKUP(tblAttendance[[#This Row],[Student_ID]],tblStudents[Student_ID],tblStudents[Address])</f>
        <v>Pune, Maharashtra</v>
      </c>
    </row>
    <row r="153" spans="1:12" x14ac:dyDescent="0.3">
      <c r="A153" s="17">
        <v>152</v>
      </c>
      <c r="B153" s="23" t="s">
        <v>186</v>
      </c>
      <c r="C153" s="10" t="s">
        <v>187</v>
      </c>
      <c r="D153" s="10" t="s">
        <v>342</v>
      </c>
      <c r="E153" s="9">
        <v>9876501266</v>
      </c>
      <c r="F153" s="11">
        <v>46204</v>
      </c>
      <c r="G153" s="12">
        <v>0.7818518518518518</v>
      </c>
      <c r="H153" s="12">
        <v>0.78929398148148144</v>
      </c>
      <c r="I153" s="12" t="str">
        <f>TEXT(tblAttendance[[#This Row],[Date]],"mmm")</f>
        <v>Jul</v>
      </c>
      <c r="J153" s="12" t="str">
        <f>TEXT(tblAttendance[[#This Row],[Date]],"yyyy")</f>
        <v>2026</v>
      </c>
      <c r="K153" s="12" t="str">
        <f>TEXT(tblAttendance[[#This Row],[Date]],"dddd")</f>
        <v>Wednesday</v>
      </c>
      <c r="L153" s="29" t="str">
        <f>_xlfn.XLOOKUP(tblAttendance[[#This Row],[Student_ID]],tblStudents[Student_ID],tblStudents[Address])</f>
        <v>Ahilya Nagar, Maharashtra, Maharashtra</v>
      </c>
    </row>
    <row r="154" spans="1:12" x14ac:dyDescent="0.3">
      <c r="A154" s="17">
        <v>153</v>
      </c>
      <c r="B154" s="23" t="s">
        <v>188</v>
      </c>
      <c r="C154" s="10" t="s">
        <v>189</v>
      </c>
      <c r="D154" s="10" t="s">
        <v>343</v>
      </c>
      <c r="E154" s="9">
        <v>9876501267</v>
      </c>
      <c r="F154" s="11">
        <v>46204</v>
      </c>
      <c r="G154" s="12">
        <v>0.78188657407407403</v>
      </c>
      <c r="H154" s="12">
        <v>0.78932870370370367</v>
      </c>
      <c r="I154" s="12" t="str">
        <f>TEXT(tblAttendance[[#This Row],[Date]],"mmm")</f>
        <v>Jul</v>
      </c>
      <c r="J154" s="12" t="str">
        <f>TEXT(tblAttendance[[#This Row],[Date]],"yyyy")</f>
        <v>2026</v>
      </c>
      <c r="K154" s="12" t="str">
        <f>TEXT(tblAttendance[[#This Row],[Date]],"dddd")</f>
        <v>Wednesday</v>
      </c>
      <c r="L154" s="29" t="str">
        <f>_xlfn.XLOOKUP(tblAttendance[[#This Row],[Student_ID]],tblStudents[Student_ID],tblStudents[Address])</f>
        <v>Chhatrapati Sambhajinagar, Maharashtra</v>
      </c>
    </row>
    <row r="155" spans="1:12" x14ac:dyDescent="0.3">
      <c r="A155" s="17">
        <v>154</v>
      </c>
      <c r="B155" s="23" t="s">
        <v>190</v>
      </c>
      <c r="C155" s="10" t="s">
        <v>191</v>
      </c>
      <c r="D155" s="10" t="s">
        <v>344</v>
      </c>
      <c r="E155" s="9">
        <v>9876501268</v>
      </c>
      <c r="F155" s="11">
        <v>46204</v>
      </c>
      <c r="G155" s="12">
        <v>0.7819328703703704</v>
      </c>
      <c r="H155" s="12">
        <v>0.78937500000000005</v>
      </c>
      <c r="I155" s="12" t="str">
        <f>TEXT(tblAttendance[[#This Row],[Date]],"mmm")</f>
        <v>Jul</v>
      </c>
      <c r="J155" s="12" t="str">
        <f>TEXT(tblAttendance[[#This Row],[Date]],"yyyy")</f>
        <v>2026</v>
      </c>
      <c r="K155" s="12" t="str">
        <f>TEXT(tblAttendance[[#This Row],[Date]],"dddd")</f>
        <v>Wednesday</v>
      </c>
      <c r="L155" s="29" t="str">
        <f>_xlfn.XLOOKUP(tblAttendance[[#This Row],[Student_ID]],tblStudents[Student_ID],tblStudents[Address])</f>
        <v>Pune, Maharashtra</v>
      </c>
    </row>
    <row r="156" spans="1:12" x14ac:dyDescent="0.3">
      <c r="A156" s="17">
        <v>155</v>
      </c>
      <c r="B156" s="23" t="s">
        <v>192</v>
      </c>
      <c r="C156" s="10" t="s">
        <v>193</v>
      </c>
      <c r="D156" s="10" t="s">
        <v>346</v>
      </c>
      <c r="E156" s="9">
        <v>9876501269</v>
      </c>
      <c r="F156" s="11">
        <v>46204</v>
      </c>
      <c r="G156" s="12">
        <v>0.78196759259259263</v>
      </c>
      <c r="H156" s="12">
        <v>0.78942129629629632</v>
      </c>
      <c r="I156" s="12" t="str">
        <f>TEXT(tblAttendance[[#This Row],[Date]],"mmm")</f>
        <v>Jul</v>
      </c>
      <c r="J156" s="12" t="str">
        <f>TEXT(tblAttendance[[#This Row],[Date]],"yyyy")</f>
        <v>2026</v>
      </c>
      <c r="K156" s="12" t="str">
        <f>TEXT(tblAttendance[[#This Row],[Date]],"dddd")</f>
        <v>Wednesday</v>
      </c>
      <c r="L156" s="29" t="str">
        <f>_xlfn.XLOOKUP(tblAttendance[[#This Row],[Student_ID]],tblStudents[Student_ID],tblStudents[Address])</f>
        <v>Pune, Maharashtra</v>
      </c>
    </row>
    <row r="157" spans="1:12" x14ac:dyDescent="0.3">
      <c r="A157" s="17">
        <v>156</v>
      </c>
      <c r="B157" s="23" t="s">
        <v>194</v>
      </c>
      <c r="C157" s="10" t="s">
        <v>195</v>
      </c>
      <c r="D157" s="10" t="s">
        <v>346</v>
      </c>
      <c r="E157" s="9">
        <v>9876501270</v>
      </c>
      <c r="F157" s="11">
        <v>46204</v>
      </c>
      <c r="G157" s="12">
        <v>0.7820138888888889</v>
      </c>
      <c r="H157" s="12">
        <v>0.78947916666666662</v>
      </c>
      <c r="I157" s="12" t="str">
        <f>TEXT(tblAttendance[[#This Row],[Date]],"mmm")</f>
        <v>Jul</v>
      </c>
      <c r="J157" s="12" t="str">
        <f>TEXT(tblAttendance[[#This Row],[Date]],"yyyy")</f>
        <v>2026</v>
      </c>
      <c r="K157" s="12" t="str">
        <f>TEXT(tblAttendance[[#This Row],[Date]],"dddd")</f>
        <v>Wednesday</v>
      </c>
      <c r="L157" s="29" t="str">
        <f>_xlfn.XLOOKUP(tblAttendance[[#This Row],[Student_ID]],tblStudents[Student_ID],tblStudents[Address])</f>
        <v>Chhatrapati Sambhajinagar, Maharashtra</v>
      </c>
    </row>
    <row r="158" spans="1:12" x14ac:dyDescent="0.3">
      <c r="A158" s="17">
        <v>157</v>
      </c>
      <c r="B158" s="23" t="s">
        <v>196</v>
      </c>
      <c r="C158" s="10" t="s">
        <v>197</v>
      </c>
      <c r="D158" s="10" t="s">
        <v>341</v>
      </c>
      <c r="E158" s="9">
        <v>9876501271</v>
      </c>
      <c r="F158" s="11">
        <v>46204</v>
      </c>
      <c r="G158" s="12">
        <v>0.78206018518518516</v>
      </c>
      <c r="H158" s="12">
        <v>0.78954861111111108</v>
      </c>
      <c r="I158" s="12" t="str">
        <f>TEXT(tblAttendance[[#This Row],[Date]],"mmm")</f>
        <v>Jul</v>
      </c>
      <c r="J158" s="12" t="str">
        <f>TEXT(tblAttendance[[#This Row],[Date]],"yyyy")</f>
        <v>2026</v>
      </c>
      <c r="K158" s="12" t="str">
        <f>TEXT(tblAttendance[[#This Row],[Date]],"dddd")</f>
        <v>Wednesday</v>
      </c>
      <c r="L158" s="29" t="str">
        <f>_xlfn.XLOOKUP(tblAttendance[[#This Row],[Student_ID]],tblStudents[Student_ID],tblStudents[Address])</f>
        <v>Chhatrapati Sambhajinagar, Maharashtra</v>
      </c>
    </row>
    <row r="159" spans="1:12" x14ac:dyDescent="0.3">
      <c r="A159" s="17">
        <v>158</v>
      </c>
      <c r="B159" s="23" t="s">
        <v>198</v>
      </c>
      <c r="C159" s="10" t="s">
        <v>199</v>
      </c>
      <c r="D159" s="10" t="s">
        <v>343</v>
      </c>
      <c r="E159" s="9">
        <v>9876501272</v>
      </c>
      <c r="F159" s="11">
        <v>46204</v>
      </c>
      <c r="G159" s="12">
        <v>0.78210648148148143</v>
      </c>
      <c r="H159" s="12">
        <v>0.7895833333333333</v>
      </c>
      <c r="I159" s="12" t="str">
        <f>TEXT(tblAttendance[[#This Row],[Date]],"mmm")</f>
        <v>Jul</v>
      </c>
      <c r="J159" s="12" t="str">
        <f>TEXT(tblAttendance[[#This Row],[Date]],"yyyy")</f>
        <v>2026</v>
      </c>
      <c r="K159" s="12" t="str">
        <f>TEXT(tblAttendance[[#This Row],[Date]],"dddd")</f>
        <v>Wednesday</v>
      </c>
      <c r="L159" s="29" t="str">
        <f>_xlfn.XLOOKUP(tblAttendance[[#This Row],[Student_ID]],tblStudents[Student_ID],tblStudents[Address])</f>
        <v>Pune, Maharashtra</v>
      </c>
    </row>
    <row r="160" spans="1:12" x14ac:dyDescent="0.3">
      <c r="A160" s="17">
        <v>159</v>
      </c>
      <c r="B160" s="23" t="s">
        <v>200</v>
      </c>
      <c r="C160" s="10" t="s">
        <v>201</v>
      </c>
      <c r="D160" s="10" t="s">
        <v>344</v>
      </c>
      <c r="E160" s="9">
        <v>9876501273</v>
      </c>
      <c r="F160" s="11">
        <v>46204</v>
      </c>
      <c r="G160" s="12">
        <v>0.78215277777777781</v>
      </c>
      <c r="H160" s="12">
        <v>0.78962962962962968</v>
      </c>
      <c r="I160" s="12" t="str">
        <f>TEXT(tblAttendance[[#This Row],[Date]],"mmm")</f>
        <v>Jul</v>
      </c>
      <c r="J160" s="12" t="str">
        <f>TEXT(tblAttendance[[#This Row],[Date]],"yyyy")</f>
        <v>2026</v>
      </c>
      <c r="K160" s="12" t="str">
        <f>TEXT(tblAttendance[[#This Row],[Date]],"dddd")</f>
        <v>Wednesday</v>
      </c>
      <c r="L160" s="29" t="str">
        <f>_xlfn.XLOOKUP(tblAttendance[[#This Row],[Student_ID]],tblStudents[Student_ID],tblStudents[Address])</f>
        <v>Pune, Maharashtra</v>
      </c>
    </row>
    <row r="161" spans="1:12" x14ac:dyDescent="0.3">
      <c r="A161" s="17">
        <v>160</v>
      </c>
      <c r="B161" s="23" t="s">
        <v>202</v>
      </c>
      <c r="C161" s="10" t="s">
        <v>203</v>
      </c>
      <c r="D161" s="10" t="s">
        <v>349</v>
      </c>
      <c r="E161" s="9">
        <v>9876501274</v>
      </c>
      <c r="F161" s="11">
        <v>46204</v>
      </c>
      <c r="G161" s="12">
        <v>0.78219907407407407</v>
      </c>
      <c r="H161" s="12">
        <v>0.78971064814814818</v>
      </c>
      <c r="I161" s="12" t="str">
        <f>TEXT(tblAttendance[[#This Row],[Date]],"mmm")</f>
        <v>Jul</v>
      </c>
      <c r="J161" s="12" t="str">
        <f>TEXT(tblAttendance[[#This Row],[Date]],"yyyy")</f>
        <v>2026</v>
      </c>
      <c r="K161" s="12" t="str">
        <f>TEXT(tblAttendance[[#This Row],[Date]],"dddd")</f>
        <v>Wednesday</v>
      </c>
      <c r="L161" s="29" t="str">
        <f>_xlfn.XLOOKUP(tblAttendance[[#This Row],[Student_ID]],tblStudents[Student_ID],tblStudents[Address])</f>
        <v>Ahilya Nagar, Maharashtra, Maharashtra</v>
      </c>
    </row>
    <row r="162" spans="1:12" x14ac:dyDescent="0.3">
      <c r="A162" s="17">
        <v>161</v>
      </c>
      <c r="B162" s="23" t="s">
        <v>204</v>
      </c>
      <c r="C162" s="10" t="s">
        <v>205</v>
      </c>
      <c r="D162" s="10" t="s">
        <v>343</v>
      </c>
      <c r="E162" s="9">
        <v>9876501275</v>
      </c>
      <c r="F162" s="11">
        <v>46204</v>
      </c>
      <c r="G162" s="12">
        <v>0.7822337962962963</v>
      </c>
      <c r="H162" s="12">
        <v>0.7897453703703704</v>
      </c>
      <c r="I162" s="12" t="str">
        <f>TEXT(tblAttendance[[#This Row],[Date]],"mmm")</f>
        <v>Jul</v>
      </c>
      <c r="J162" s="12" t="str">
        <f>TEXT(tblAttendance[[#This Row],[Date]],"yyyy")</f>
        <v>2026</v>
      </c>
      <c r="K162" s="12" t="str">
        <f>TEXT(tblAttendance[[#This Row],[Date]],"dddd")</f>
        <v>Wednesday</v>
      </c>
      <c r="L162" s="29" t="str">
        <f>_xlfn.XLOOKUP(tblAttendance[[#This Row],[Student_ID]],tblStudents[Student_ID],tblStudents[Address])</f>
        <v>Chhatrapati Sambhajinagar, Maharashtra</v>
      </c>
    </row>
    <row r="163" spans="1:12" x14ac:dyDescent="0.3">
      <c r="A163" s="17">
        <v>162</v>
      </c>
      <c r="B163" s="23" t="s">
        <v>206</v>
      </c>
      <c r="C163" s="10" t="s">
        <v>207</v>
      </c>
      <c r="D163" s="10" t="s">
        <v>347</v>
      </c>
      <c r="E163" s="9">
        <v>9876501276</v>
      </c>
      <c r="F163" s="11">
        <v>46204</v>
      </c>
      <c r="G163" s="12">
        <v>0.78226851851851853</v>
      </c>
      <c r="H163" s="12">
        <v>0.78979166666666667</v>
      </c>
      <c r="I163" s="12" t="str">
        <f>TEXT(tblAttendance[[#This Row],[Date]],"mmm")</f>
        <v>Jul</v>
      </c>
      <c r="J163" s="12" t="str">
        <f>TEXT(tblAttendance[[#This Row],[Date]],"yyyy")</f>
        <v>2026</v>
      </c>
      <c r="K163" s="12" t="str">
        <f>TEXT(tblAttendance[[#This Row],[Date]],"dddd")</f>
        <v>Wednesday</v>
      </c>
      <c r="L163" s="29" t="str">
        <f>_xlfn.XLOOKUP(tblAttendance[[#This Row],[Student_ID]],tblStudents[Student_ID],tblStudents[Address])</f>
        <v>Pune, Maharashtra</v>
      </c>
    </row>
    <row r="164" spans="1:12" x14ac:dyDescent="0.3">
      <c r="A164" s="17">
        <v>163</v>
      </c>
      <c r="B164" s="23" t="s">
        <v>208</v>
      </c>
      <c r="C164" s="10" t="s">
        <v>209</v>
      </c>
      <c r="D164" s="10" t="s">
        <v>350</v>
      </c>
      <c r="E164" s="9">
        <v>9834512701</v>
      </c>
      <c r="F164" s="11">
        <v>46204</v>
      </c>
      <c r="G164" s="12">
        <v>0.78230324074074076</v>
      </c>
      <c r="H164" s="12">
        <v>0.7898263888888889</v>
      </c>
      <c r="I164" s="12" t="str">
        <f>TEXT(tblAttendance[[#This Row],[Date]],"mmm")</f>
        <v>Jul</v>
      </c>
      <c r="J164" s="12" t="str">
        <f>TEXT(tblAttendance[[#This Row],[Date]],"yyyy")</f>
        <v>2026</v>
      </c>
      <c r="K164" s="12" t="str">
        <f>TEXT(tblAttendance[[#This Row],[Date]],"dddd")</f>
        <v>Wednesday</v>
      </c>
      <c r="L164" s="29" t="str">
        <f>_xlfn.XLOOKUP(tblAttendance[[#This Row],[Student_ID]],tblStudents[Student_ID],tblStudents[Address])</f>
        <v>Hadapsar, Pune</v>
      </c>
    </row>
    <row r="165" spans="1:12" x14ac:dyDescent="0.3">
      <c r="A165" s="17">
        <v>164</v>
      </c>
      <c r="B165" s="23" t="s">
        <v>211</v>
      </c>
      <c r="C165" s="10" t="s">
        <v>212</v>
      </c>
      <c r="D165" s="10" t="s">
        <v>348</v>
      </c>
      <c r="E165" s="9">
        <v>9834512702</v>
      </c>
      <c r="F165" s="11">
        <v>46204</v>
      </c>
      <c r="G165" s="12">
        <v>0.78234953703703702</v>
      </c>
      <c r="H165" s="12">
        <v>0.78989583333333335</v>
      </c>
      <c r="I165" s="12" t="str">
        <f>TEXT(tblAttendance[[#This Row],[Date]],"mmm")</f>
        <v>Jul</v>
      </c>
      <c r="J165" s="12" t="str">
        <f>TEXT(tblAttendance[[#This Row],[Date]],"yyyy")</f>
        <v>2026</v>
      </c>
      <c r="K165" s="12" t="str">
        <f>TEXT(tblAttendance[[#This Row],[Date]],"dddd")</f>
        <v>Wednesday</v>
      </c>
      <c r="L165" s="29" t="str">
        <f>_xlfn.XLOOKUP(tblAttendance[[#This Row],[Student_ID]],tblStudents[Student_ID],tblStudents[Address])</f>
        <v>Wagholi, Pune</v>
      </c>
    </row>
    <row r="166" spans="1:12" x14ac:dyDescent="0.3">
      <c r="A166" s="17">
        <v>165</v>
      </c>
      <c r="B166" s="23" t="s">
        <v>214</v>
      </c>
      <c r="C166" s="10" t="s">
        <v>215</v>
      </c>
      <c r="D166" s="10" t="s">
        <v>348</v>
      </c>
      <c r="E166" s="9">
        <v>9834512703</v>
      </c>
      <c r="F166" s="11">
        <v>46204</v>
      </c>
      <c r="G166" s="12">
        <v>0.78238425925925925</v>
      </c>
      <c r="H166" s="12">
        <v>0.78994212962962962</v>
      </c>
      <c r="I166" s="12" t="str">
        <f>TEXT(tblAttendance[[#This Row],[Date]],"mmm")</f>
        <v>Jul</v>
      </c>
      <c r="J166" s="12" t="str">
        <f>TEXT(tblAttendance[[#This Row],[Date]],"yyyy")</f>
        <v>2026</v>
      </c>
      <c r="K166" s="12" t="str">
        <f>TEXT(tblAttendance[[#This Row],[Date]],"dddd")</f>
        <v>Wednesday</v>
      </c>
      <c r="L166" s="29" t="str">
        <f>_xlfn.XLOOKUP(tblAttendance[[#This Row],[Student_ID]],tblStudents[Student_ID],tblStudents[Address])</f>
        <v>Chakan, Pune</v>
      </c>
    </row>
    <row r="167" spans="1:12" x14ac:dyDescent="0.3">
      <c r="A167" s="17">
        <v>166</v>
      </c>
      <c r="B167" s="23" t="s">
        <v>217</v>
      </c>
      <c r="C167" s="10" t="s">
        <v>218</v>
      </c>
      <c r="D167" s="10" t="s">
        <v>349</v>
      </c>
      <c r="E167" s="9">
        <v>9834512704</v>
      </c>
      <c r="F167" s="11">
        <v>46204</v>
      </c>
      <c r="G167" s="12">
        <v>0.78244212962962967</v>
      </c>
      <c r="H167" s="12">
        <v>0.79</v>
      </c>
      <c r="I167" s="12" t="str">
        <f>TEXT(tblAttendance[[#This Row],[Date]],"mmm")</f>
        <v>Jul</v>
      </c>
      <c r="J167" s="12" t="str">
        <f>TEXT(tblAttendance[[#This Row],[Date]],"yyyy")</f>
        <v>2026</v>
      </c>
      <c r="K167" s="12" t="str">
        <f>TEXT(tblAttendance[[#This Row],[Date]],"dddd")</f>
        <v>Wednesday</v>
      </c>
      <c r="L167" s="29" t="str">
        <f>_xlfn.XLOOKUP(tblAttendance[[#This Row],[Student_ID]],tblStudents[Student_ID],tblStudents[Address])</f>
        <v>Kharadi, Pune</v>
      </c>
    </row>
    <row r="168" spans="1:12" x14ac:dyDescent="0.3">
      <c r="A168" s="17">
        <v>167</v>
      </c>
      <c r="B168" s="23" t="s">
        <v>220</v>
      </c>
      <c r="C168" s="10" t="s">
        <v>221</v>
      </c>
      <c r="D168" s="10" t="s">
        <v>344</v>
      </c>
      <c r="E168" s="9">
        <v>9834512705</v>
      </c>
      <c r="F168" s="11">
        <v>46204</v>
      </c>
      <c r="G168" s="12">
        <v>0.78249999999999997</v>
      </c>
      <c r="H168" s="12">
        <v>0.79005787037037034</v>
      </c>
      <c r="I168" s="12" t="str">
        <f>TEXT(tblAttendance[[#This Row],[Date]],"mmm")</f>
        <v>Jul</v>
      </c>
      <c r="J168" s="12" t="str">
        <f>TEXT(tblAttendance[[#This Row],[Date]],"yyyy")</f>
        <v>2026</v>
      </c>
      <c r="K168" s="12" t="str">
        <f>TEXT(tblAttendance[[#This Row],[Date]],"dddd")</f>
        <v>Wednesday</v>
      </c>
      <c r="L168" s="29" t="str">
        <f>_xlfn.XLOOKUP(tblAttendance[[#This Row],[Student_ID]],tblStudents[Student_ID],tblStudents[Address])</f>
        <v>Hinjawadi, Pune</v>
      </c>
    </row>
    <row r="169" spans="1:12" x14ac:dyDescent="0.3">
      <c r="A169" s="17">
        <v>168</v>
      </c>
      <c r="B169" s="23" t="s">
        <v>223</v>
      </c>
      <c r="C169" s="10" t="s">
        <v>224</v>
      </c>
      <c r="D169" s="10" t="s">
        <v>343</v>
      </c>
      <c r="E169" s="9">
        <v>9834512706</v>
      </c>
      <c r="F169" s="11">
        <v>46204</v>
      </c>
      <c r="G169" s="12">
        <v>0.7825347222222222</v>
      </c>
      <c r="H169" s="12">
        <v>0.7901273148148148</v>
      </c>
      <c r="I169" s="12" t="str">
        <f>TEXT(tblAttendance[[#This Row],[Date]],"mmm")</f>
        <v>Jul</v>
      </c>
      <c r="J169" s="12" t="str">
        <f>TEXT(tblAttendance[[#This Row],[Date]],"yyyy")</f>
        <v>2026</v>
      </c>
      <c r="K169" s="12" t="str">
        <f>TEXT(tblAttendance[[#This Row],[Date]],"dddd")</f>
        <v>Wednesday</v>
      </c>
      <c r="L169" s="29" t="str">
        <f>_xlfn.XLOOKUP(tblAttendance[[#This Row],[Student_ID]],tblStudents[Student_ID],tblStudents[Address])</f>
        <v>Baner, Pune</v>
      </c>
    </row>
    <row r="170" spans="1:12" x14ac:dyDescent="0.3">
      <c r="A170" s="17">
        <v>169</v>
      </c>
      <c r="B170" s="23" t="s">
        <v>226</v>
      </c>
      <c r="C170" s="10" t="s">
        <v>227</v>
      </c>
      <c r="D170" s="10" t="s">
        <v>340</v>
      </c>
      <c r="E170" s="9">
        <v>9834512707</v>
      </c>
      <c r="F170" s="11">
        <v>46204</v>
      </c>
      <c r="G170" s="12">
        <v>0.78258101851851847</v>
      </c>
      <c r="H170" s="12">
        <v>0.79017361111111106</v>
      </c>
      <c r="I170" s="12" t="str">
        <f>TEXT(tblAttendance[[#This Row],[Date]],"mmm")</f>
        <v>Jul</v>
      </c>
      <c r="J170" s="12" t="str">
        <f>TEXT(tblAttendance[[#This Row],[Date]],"yyyy")</f>
        <v>2026</v>
      </c>
      <c r="K170" s="12" t="str">
        <f>TEXT(tblAttendance[[#This Row],[Date]],"dddd")</f>
        <v>Wednesday</v>
      </c>
      <c r="L170" s="29" t="str">
        <f>_xlfn.XLOOKUP(tblAttendance[[#This Row],[Student_ID]],tblStudents[Student_ID],tblStudents[Address])</f>
        <v>Wakad, Pune</v>
      </c>
    </row>
    <row r="171" spans="1:12" x14ac:dyDescent="0.3">
      <c r="A171" s="17">
        <v>170</v>
      </c>
      <c r="B171" s="23" t="s">
        <v>229</v>
      </c>
      <c r="C171" s="10" t="s">
        <v>230</v>
      </c>
      <c r="D171" s="10" t="s">
        <v>340</v>
      </c>
      <c r="E171" s="9">
        <v>9834512708</v>
      </c>
      <c r="F171" s="11">
        <v>46204</v>
      </c>
      <c r="G171" s="12">
        <v>0.78262731481481485</v>
      </c>
      <c r="H171" s="12">
        <v>0.79020833333333329</v>
      </c>
      <c r="I171" s="12" t="str">
        <f>TEXT(tblAttendance[[#This Row],[Date]],"mmm")</f>
        <v>Jul</v>
      </c>
      <c r="J171" s="12" t="str">
        <f>TEXT(tblAttendance[[#This Row],[Date]],"yyyy")</f>
        <v>2026</v>
      </c>
      <c r="K171" s="12" t="str">
        <f>TEXT(tblAttendance[[#This Row],[Date]],"dddd")</f>
        <v>Wednesday</v>
      </c>
      <c r="L171" s="29" t="str">
        <f>_xlfn.XLOOKUP(tblAttendance[[#This Row],[Student_ID]],tblStudents[Student_ID],tblStudents[Address])</f>
        <v>Pimpri, Pune</v>
      </c>
    </row>
    <row r="172" spans="1:12" x14ac:dyDescent="0.3">
      <c r="A172" s="17">
        <v>171</v>
      </c>
      <c r="B172" s="23" t="s">
        <v>232</v>
      </c>
      <c r="C172" s="10" t="s">
        <v>233</v>
      </c>
      <c r="D172" s="10" t="s">
        <v>347</v>
      </c>
      <c r="E172" s="9">
        <v>9834512709</v>
      </c>
      <c r="F172" s="11">
        <v>46204</v>
      </c>
      <c r="G172" s="12">
        <v>0.78266203703703707</v>
      </c>
      <c r="H172" s="12">
        <v>0.79024305555555552</v>
      </c>
      <c r="I172" s="12" t="str">
        <f>TEXT(tblAttendance[[#This Row],[Date]],"mmm")</f>
        <v>Jul</v>
      </c>
      <c r="J172" s="12" t="str">
        <f>TEXT(tblAttendance[[#This Row],[Date]],"yyyy")</f>
        <v>2026</v>
      </c>
      <c r="K172" s="12" t="str">
        <f>TEXT(tblAttendance[[#This Row],[Date]],"dddd")</f>
        <v>Wednesday</v>
      </c>
      <c r="L172" s="29" t="str">
        <f>_xlfn.XLOOKUP(tblAttendance[[#This Row],[Student_ID]],tblStudents[Student_ID],tblStudents[Address])</f>
        <v>Chinchwad, Pune</v>
      </c>
    </row>
    <row r="173" spans="1:12" x14ac:dyDescent="0.3">
      <c r="A173" s="17">
        <v>172</v>
      </c>
      <c r="B173" s="23" t="s">
        <v>235</v>
      </c>
      <c r="C173" s="10" t="s">
        <v>236</v>
      </c>
      <c r="D173" s="10" t="s">
        <v>348</v>
      </c>
      <c r="E173" s="9">
        <v>9834512710</v>
      </c>
      <c r="F173" s="11">
        <v>46204</v>
      </c>
      <c r="G173" s="12">
        <v>0.7826967592592593</v>
      </c>
      <c r="H173" s="12">
        <v>0.79027777777777775</v>
      </c>
      <c r="I173" s="12" t="str">
        <f>TEXT(tblAttendance[[#This Row],[Date]],"mmm")</f>
        <v>Jul</v>
      </c>
      <c r="J173" s="12" t="str">
        <f>TEXT(tblAttendance[[#This Row],[Date]],"yyyy")</f>
        <v>2026</v>
      </c>
      <c r="K173" s="12" t="str">
        <f>TEXT(tblAttendance[[#This Row],[Date]],"dddd")</f>
        <v>Wednesday</v>
      </c>
      <c r="L173" s="29" t="str">
        <f>_xlfn.XLOOKUP(tblAttendance[[#This Row],[Student_ID]],tblStudents[Student_ID],tblStudents[Address])</f>
        <v>Talegaon, Pune</v>
      </c>
    </row>
    <row r="174" spans="1:12" x14ac:dyDescent="0.3">
      <c r="A174" s="17">
        <v>173</v>
      </c>
      <c r="B174" s="23" t="s">
        <v>238</v>
      </c>
      <c r="C174" s="10" t="s">
        <v>239</v>
      </c>
      <c r="D174" s="10" t="s">
        <v>340</v>
      </c>
      <c r="E174" s="9">
        <v>9834512711</v>
      </c>
      <c r="F174" s="11">
        <v>46204</v>
      </c>
      <c r="G174" s="12">
        <v>0.78273148148148153</v>
      </c>
      <c r="H174" s="12">
        <v>0.79031249999999997</v>
      </c>
      <c r="I174" s="12" t="str">
        <f>TEXT(tblAttendance[[#This Row],[Date]],"mmm")</f>
        <v>Jul</v>
      </c>
      <c r="J174" s="12" t="str">
        <f>TEXT(tblAttendance[[#This Row],[Date]],"yyyy")</f>
        <v>2026</v>
      </c>
      <c r="K174" s="12" t="str">
        <f>TEXT(tblAttendance[[#This Row],[Date]],"dddd")</f>
        <v>Wednesday</v>
      </c>
      <c r="L174" s="29" t="str">
        <f>_xlfn.XLOOKUP(tblAttendance[[#This Row],[Student_ID]],tblStudents[Student_ID],tblStudents[Address])</f>
        <v>Moshi, Pune</v>
      </c>
    </row>
    <row r="175" spans="1:12" x14ac:dyDescent="0.3">
      <c r="A175" s="17">
        <v>174</v>
      </c>
      <c r="B175" s="23" t="s">
        <v>241</v>
      </c>
      <c r="C175" s="10" t="s">
        <v>242</v>
      </c>
      <c r="D175" s="10" t="s">
        <v>341</v>
      </c>
      <c r="E175" s="9">
        <v>9834512712</v>
      </c>
      <c r="F175" s="11">
        <v>46204</v>
      </c>
      <c r="G175" s="12">
        <v>0.78277777777777779</v>
      </c>
      <c r="H175" s="12">
        <v>0.7903472222222222</v>
      </c>
      <c r="I175" s="12" t="str">
        <f>TEXT(tblAttendance[[#This Row],[Date]],"mmm")</f>
        <v>Jul</v>
      </c>
      <c r="J175" s="12" t="str">
        <f>TEXT(tblAttendance[[#This Row],[Date]],"yyyy")</f>
        <v>2026</v>
      </c>
      <c r="K175" s="12" t="str">
        <f>TEXT(tblAttendance[[#This Row],[Date]],"dddd")</f>
        <v>Wednesday</v>
      </c>
      <c r="L175" s="29" t="str">
        <f>_xlfn.XLOOKUP(tblAttendance[[#This Row],[Student_ID]],tblStudents[Student_ID],tblStudents[Address])</f>
        <v>Bhosari, Pune</v>
      </c>
    </row>
    <row r="176" spans="1:12" x14ac:dyDescent="0.3">
      <c r="A176" s="17">
        <v>175</v>
      </c>
      <c r="B176" s="23" t="s">
        <v>244</v>
      </c>
      <c r="C176" s="10" t="s">
        <v>245</v>
      </c>
      <c r="D176" s="10" t="s">
        <v>342</v>
      </c>
      <c r="E176" s="9">
        <v>9834512713</v>
      </c>
      <c r="F176" s="11">
        <v>46204</v>
      </c>
      <c r="G176" s="12">
        <v>0.78282407407407406</v>
      </c>
      <c r="H176" s="12">
        <v>0.79039351851851847</v>
      </c>
      <c r="I176" s="12" t="str">
        <f>TEXT(tblAttendance[[#This Row],[Date]],"mmm")</f>
        <v>Jul</v>
      </c>
      <c r="J176" s="12" t="str">
        <f>TEXT(tblAttendance[[#This Row],[Date]],"yyyy")</f>
        <v>2026</v>
      </c>
      <c r="K176" s="12" t="str">
        <f>TEXT(tblAttendance[[#This Row],[Date]],"dddd")</f>
        <v>Wednesday</v>
      </c>
      <c r="L176" s="29" t="str">
        <f>_xlfn.XLOOKUP(tblAttendance[[#This Row],[Student_ID]],tblStudents[Student_ID],tblStudents[Address])</f>
        <v>Alandi, Pune</v>
      </c>
    </row>
    <row r="177" spans="1:12" x14ac:dyDescent="0.3">
      <c r="A177" s="17">
        <v>176</v>
      </c>
      <c r="B177" s="23" t="s">
        <v>247</v>
      </c>
      <c r="C177" s="10" t="s">
        <v>248</v>
      </c>
      <c r="D177" s="10" t="s">
        <v>343</v>
      </c>
      <c r="E177" s="9">
        <v>9834512714</v>
      </c>
      <c r="F177" s="11">
        <v>46204</v>
      </c>
      <c r="G177" s="12">
        <v>0.78285879629629629</v>
      </c>
      <c r="H177" s="12">
        <v>0.79045138888888888</v>
      </c>
      <c r="I177" s="12" t="str">
        <f>TEXT(tblAttendance[[#This Row],[Date]],"mmm")</f>
        <v>Jul</v>
      </c>
      <c r="J177" s="12" t="str">
        <f>TEXT(tblAttendance[[#This Row],[Date]],"yyyy")</f>
        <v>2026</v>
      </c>
      <c r="K177" s="12" t="str">
        <f>TEXT(tblAttendance[[#This Row],[Date]],"dddd")</f>
        <v>Wednesday</v>
      </c>
      <c r="L177" s="29" t="str">
        <f>_xlfn.XLOOKUP(tblAttendance[[#This Row],[Student_ID]],tblStudents[Student_ID],tblStudents[Address])</f>
        <v>Lohegaon, Pune</v>
      </c>
    </row>
    <row r="178" spans="1:12" x14ac:dyDescent="0.3">
      <c r="A178" s="17">
        <v>177</v>
      </c>
      <c r="B178" s="23" t="s">
        <v>250</v>
      </c>
      <c r="C178" s="10" t="s">
        <v>251</v>
      </c>
      <c r="D178" s="10" t="s">
        <v>344</v>
      </c>
      <c r="E178" s="9">
        <v>9834512715</v>
      </c>
      <c r="F178" s="11">
        <v>46204</v>
      </c>
      <c r="G178" s="12">
        <v>0.78290509259259256</v>
      </c>
      <c r="H178" s="12">
        <v>0.7905092592592593</v>
      </c>
      <c r="I178" s="12" t="str">
        <f>TEXT(tblAttendance[[#This Row],[Date]],"mmm")</f>
        <v>Jul</v>
      </c>
      <c r="J178" s="12" t="str">
        <f>TEXT(tblAttendance[[#This Row],[Date]],"yyyy")</f>
        <v>2026</v>
      </c>
      <c r="K178" s="12" t="str">
        <f>TEXT(tblAttendance[[#This Row],[Date]],"dddd")</f>
        <v>Wednesday</v>
      </c>
      <c r="L178" s="29" t="str">
        <f>_xlfn.XLOOKUP(tblAttendance[[#This Row],[Student_ID]],tblStudents[Student_ID],tblStudents[Address])</f>
        <v>Dhanori, Pune</v>
      </c>
    </row>
    <row r="179" spans="1:12" x14ac:dyDescent="0.3">
      <c r="A179" s="17">
        <v>178</v>
      </c>
      <c r="B179" s="23" t="s">
        <v>253</v>
      </c>
      <c r="C179" s="10" t="s">
        <v>254</v>
      </c>
      <c r="D179" s="10" t="s">
        <v>344</v>
      </c>
      <c r="E179" s="9">
        <v>9834512716</v>
      </c>
      <c r="F179" s="11">
        <v>46204</v>
      </c>
      <c r="G179" s="12">
        <v>0.78295138888888893</v>
      </c>
      <c r="H179" s="12">
        <v>0.79054398148148153</v>
      </c>
      <c r="I179" s="12" t="str">
        <f>TEXT(tblAttendance[[#This Row],[Date]],"mmm")</f>
        <v>Jul</v>
      </c>
      <c r="J179" s="12" t="str">
        <f>TEXT(tblAttendance[[#This Row],[Date]],"yyyy")</f>
        <v>2026</v>
      </c>
      <c r="K179" s="12" t="str">
        <f>TEXT(tblAttendance[[#This Row],[Date]],"dddd")</f>
        <v>Wednesday</v>
      </c>
      <c r="L179" s="29" t="str">
        <f>_xlfn.XLOOKUP(tblAttendance[[#This Row],[Student_ID]],tblStudents[Student_ID],tblStudents[Address])</f>
        <v>Kondhwa, Pune</v>
      </c>
    </row>
    <row r="180" spans="1:12" x14ac:dyDescent="0.3">
      <c r="A180" s="17">
        <v>179</v>
      </c>
      <c r="B180" s="23" t="s">
        <v>256</v>
      </c>
      <c r="C180" s="10" t="s">
        <v>257</v>
      </c>
      <c r="D180" s="10" t="s">
        <v>346</v>
      </c>
      <c r="E180" s="9">
        <v>9834512717</v>
      </c>
      <c r="F180" s="11">
        <v>46204</v>
      </c>
      <c r="G180" s="12">
        <v>0.78298611111111116</v>
      </c>
      <c r="H180" s="12">
        <v>0.79057870370370376</v>
      </c>
      <c r="I180" s="12" t="str">
        <f>TEXT(tblAttendance[[#This Row],[Date]],"mmm")</f>
        <v>Jul</v>
      </c>
      <c r="J180" s="12" t="str">
        <f>TEXT(tblAttendance[[#This Row],[Date]],"yyyy")</f>
        <v>2026</v>
      </c>
      <c r="K180" s="12" t="str">
        <f>TEXT(tblAttendance[[#This Row],[Date]],"dddd")</f>
        <v>Wednesday</v>
      </c>
      <c r="L180" s="29" t="str">
        <f>_xlfn.XLOOKUP(tblAttendance[[#This Row],[Student_ID]],tblStudents[Student_ID],tblStudents[Address])</f>
        <v>Katraj, Pune</v>
      </c>
    </row>
    <row r="181" spans="1:12" x14ac:dyDescent="0.3">
      <c r="A181" s="17">
        <v>180</v>
      </c>
      <c r="B181" s="23" t="s">
        <v>259</v>
      </c>
      <c r="C181" s="10" t="s">
        <v>260</v>
      </c>
      <c r="D181" s="10" t="s">
        <v>347</v>
      </c>
      <c r="E181" s="9">
        <v>9834512718</v>
      </c>
      <c r="F181" s="11">
        <v>46204</v>
      </c>
      <c r="G181" s="12">
        <v>0.78302083333333339</v>
      </c>
      <c r="H181" s="12">
        <v>0.79062500000000002</v>
      </c>
      <c r="I181" s="12" t="str">
        <f>TEXT(tblAttendance[[#This Row],[Date]],"mmm")</f>
        <v>Jul</v>
      </c>
      <c r="J181" s="12" t="str">
        <f>TEXT(tblAttendance[[#This Row],[Date]],"yyyy")</f>
        <v>2026</v>
      </c>
      <c r="K181" s="12" t="str">
        <f>TEXT(tblAttendance[[#This Row],[Date]],"dddd")</f>
        <v>Wednesday</v>
      </c>
      <c r="L181" s="29" t="str">
        <f>_xlfn.XLOOKUP(tblAttendance[[#This Row],[Student_ID]],tblStudents[Student_ID],tblStudents[Address])</f>
        <v>Shivajinagar, Pune</v>
      </c>
    </row>
    <row r="182" spans="1:12" x14ac:dyDescent="0.3">
      <c r="A182" s="17">
        <v>181</v>
      </c>
      <c r="B182" s="23" t="s">
        <v>262</v>
      </c>
      <c r="C182" s="10" t="s">
        <v>263</v>
      </c>
      <c r="D182" s="10" t="s">
        <v>349</v>
      </c>
      <c r="E182" s="9">
        <v>9834512719</v>
      </c>
      <c r="F182" s="11">
        <v>46204</v>
      </c>
      <c r="G182" s="12">
        <v>0.7830555555555555</v>
      </c>
      <c r="H182" s="12">
        <v>0.79065972222222225</v>
      </c>
      <c r="I182" s="12" t="str">
        <f>TEXT(tblAttendance[[#This Row],[Date]],"mmm")</f>
        <v>Jul</v>
      </c>
      <c r="J182" s="12" t="str">
        <f>TEXT(tblAttendance[[#This Row],[Date]],"yyyy")</f>
        <v>2026</v>
      </c>
      <c r="K182" s="12" t="str">
        <f>TEXT(tblAttendance[[#This Row],[Date]],"dddd")</f>
        <v>Wednesday</v>
      </c>
      <c r="L182" s="29" t="str">
        <f>_xlfn.XLOOKUP(tblAttendance[[#This Row],[Student_ID]],tblStudents[Student_ID],tblStudents[Address])</f>
        <v>Bavdhan, Pune</v>
      </c>
    </row>
    <row r="183" spans="1:12" x14ac:dyDescent="0.3">
      <c r="A183" s="17">
        <v>182</v>
      </c>
      <c r="B183" s="23" t="s">
        <v>265</v>
      </c>
      <c r="C183" s="10" t="s">
        <v>266</v>
      </c>
      <c r="D183" s="10" t="s">
        <v>349</v>
      </c>
      <c r="E183" s="9">
        <v>9834512720</v>
      </c>
      <c r="F183" s="11">
        <v>46204</v>
      </c>
      <c r="G183" s="12">
        <v>0.78307870370370369</v>
      </c>
      <c r="H183" s="12">
        <v>0.79069444444444448</v>
      </c>
      <c r="I183" s="12" t="str">
        <f>TEXT(tblAttendance[[#This Row],[Date]],"mmm")</f>
        <v>Jul</v>
      </c>
      <c r="J183" s="12" t="str">
        <f>TEXT(tblAttendance[[#This Row],[Date]],"yyyy")</f>
        <v>2026</v>
      </c>
      <c r="K183" s="12" t="str">
        <f>TEXT(tblAttendance[[#This Row],[Date]],"dddd")</f>
        <v>Wednesday</v>
      </c>
      <c r="L183" s="29" t="str">
        <f>_xlfn.XLOOKUP(tblAttendance[[#This Row],[Student_ID]],tblStudents[Student_ID],tblStudents[Address])</f>
        <v>Nigdi, Pune</v>
      </c>
    </row>
    <row r="184" spans="1:12" x14ac:dyDescent="0.3">
      <c r="A184" s="17">
        <v>183</v>
      </c>
      <c r="B184" s="23" t="s">
        <v>268</v>
      </c>
      <c r="C184" s="10" t="s">
        <v>269</v>
      </c>
      <c r="D184" s="10" t="s">
        <v>350</v>
      </c>
      <c r="E184" s="9">
        <v>9834512721</v>
      </c>
      <c r="F184" s="11">
        <v>46204</v>
      </c>
      <c r="G184" s="12">
        <v>0.78311342592592592</v>
      </c>
      <c r="H184" s="12">
        <v>0.79074074074074074</v>
      </c>
      <c r="I184" s="12" t="str">
        <f>TEXT(tblAttendance[[#This Row],[Date]],"mmm")</f>
        <v>Jul</v>
      </c>
      <c r="J184" s="12" t="str">
        <f>TEXT(tblAttendance[[#This Row],[Date]],"yyyy")</f>
        <v>2026</v>
      </c>
      <c r="K184" s="12" t="str">
        <f>TEXT(tblAttendance[[#This Row],[Date]],"dddd")</f>
        <v>Wednesday</v>
      </c>
      <c r="L184" s="29" t="str">
        <f>_xlfn.XLOOKUP(tblAttendance[[#This Row],[Student_ID]],tblStudents[Student_ID],tblStudents[Address])</f>
        <v>Ravet, Pune</v>
      </c>
    </row>
    <row r="185" spans="1:12" x14ac:dyDescent="0.3">
      <c r="A185" s="17">
        <v>184</v>
      </c>
      <c r="B185" s="23" t="s">
        <v>271</v>
      </c>
      <c r="C185" s="10" t="s">
        <v>272</v>
      </c>
      <c r="D185" s="10" t="s">
        <v>350</v>
      </c>
      <c r="E185" s="9">
        <v>9834512722</v>
      </c>
      <c r="F185" s="11">
        <v>46204</v>
      </c>
      <c r="G185" s="12">
        <v>0.78315972222222219</v>
      </c>
      <c r="H185" s="12">
        <v>0.79078703703703701</v>
      </c>
      <c r="I185" s="12" t="str">
        <f>TEXT(tblAttendance[[#This Row],[Date]],"mmm")</f>
        <v>Jul</v>
      </c>
      <c r="J185" s="12" t="str">
        <f>TEXT(tblAttendance[[#This Row],[Date]],"yyyy")</f>
        <v>2026</v>
      </c>
      <c r="K185" s="12" t="str">
        <f>TEXT(tblAttendance[[#This Row],[Date]],"dddd")</f>
        <v>Wednesday</v>
      </c>
      <c r="L185" s="29" t="str">
        <f>_xlfn.XLOOKUP(tblAttendance[[#This Row],[Student_ID]],tblStudents[Student_ID],tblStudents[Address])</f>
        <v>Dhayari, Pune</v>
      </c>
    </row>
    <row r="186" spans="1:12" x14ac:dyDescent="0.3">
      <c r="A186" s="17">
        <v>185</v>
      </c>
      <c r="B186" s="23" t="s">
        <v>274</v>
      </c>
      <c r="C186" s="10" t="s">
        <v>275</v>
      </c>
      <c r="D186" s="10" t="s">
        <v>349</v>
      </c>
      <c r="E186" s="9">
        <v>9834512723</v>
      </c>
      <c r="F186" s="11">
        <v>46204</v>
      </c>
      <c r="G186" s="12">
        <v>0.7832175925925926</v>
      </c>
      <c r="H186" s="12">
        <v>0.79082175925925924</v>
      </c>
      <c r="I186" s="12" t="str">
        <f>TEXT(tblAttendance[[#This Row],[Date]],"mmm")</f>
        <v>Jul</v>
      </c>
      <c r="J186" s="12" t="str">
        <f>TEXT(tblAttendance[[#This Row],[Date]],"yyyy")</f>
        <v>2026</v>
      </c>
      <c r="K186" s="12" t="str">
        <f>TEXT(tblAttendance[[#This Row],[Date]],"dddd")</f>
        <v>Wednesday</v>
      </c>
      <c r="L186" s="29" t="str">
        <f>_xlfn.XLOOKUP(tblAttendance[[#This Row],[Student_ID]],tblStudents[Student_ID],tblStudents[Address])</f>
        <v>Narhe, Pune</v>
      </c>
    </row>
    <row r="187" spans="1:12" x14ac:dyDescent="0.3">
      <c r="A187" s="17">
        <v>186</v>
      </c>
      <c r="B187" s="23" t="s">
        <v>277</v>
      </c>
      <c r="C187" s="10" t="s">
        <v>278</v>
      </c>
      <c r="D187" s="10" t="s">
        <v>348</v>
      </c>
      <c r="E187" s="9">
        <v>9834512724</v>
      </c>
      <c r="F187" s="11">
        <v>46204</v>
      </c>
      <c r="G187" s="12">
        <v>0.7832986111111111</v>
      </c>
      <c r="H187" s="12">
        <v>0.79093749999999996</v>
      </c>
      <c r="I187" s="12" t="str">
        <f>TEXT(tblAttendance[[#This Row],[Date]],"mmm")</f>
        <v>Jul</v>
      </c>
      <c r="J187" s="12" t="str">
        <f>TEXT(tblAttendance[[#This Row],[Date]],"yyyy")</f>
        <v>2026</v>
      </c>
      <c r="K187" s="12" t="str">
        <f>TEXT(tblAttendance[[#This Row],[Date]],"dddd")</f>
        <v>Wednesday</v>
      </c>
      <c r="L187" s="29" t="str">
        <f>_xlfn.XLOOKUP(tblAttendance[[#This Row],[Student_ID]],tblStudents[Student_ID],tblStudents[Address])</f>
        <v>Fursungi, Pune</v>
      </c>
    </row>
    <row r="188" spans="1:12" x14ac:dyDescent="0.3">
      <c r="A188" s="17">
        <v>187</v>
      </c>
      <c r="B188" s="23" t="s">
        <v>280</v>
      </c>
      <c r="C188" s="10" t="s">
        <v>281</v>
      </c>
      <c r="D188" s="10" t="s">
        <v>348</v>
      </c>
      <c r="E188" s="9">
        <v>9834512725</v>
      </c>
      <c r="F188" s="11">
        <v>46204</v>
      </c>
      <c r="G188" s="12">
        <v>0.78333333333333333</v>
      </c>
      <c r="H188" s="12">
        <v>0.79098379629629634</v>
      </c>
      <c r="I188" s="12" t="str">
        <f>TEXT(tblAttendance[[#This Row],[Date]],"mmm")</f>
        <v>Jul</v>
      </c>
      <c r="J188" s="12" t="str">
        <f>TEXT(tblAttendance[[#This Row],[Date]],"yyyy")</f>
        <v>2026</v>
      </c>
      <c r="K188" s="12" t="str">
        <f>TEXT(tblAttendance[[#This Row],[Date]],"dddd")</f>
        <v>Wednesday</v>
      </c>
      <c r="L188" s="29" t="str">
        <f>_xlfn.XLOOKUP(tblAttendance[[#This Row],[Student_ID]],tblStudents[Student_ID],tblStudents[Address])</f>
        <v>Mundhwa, Pune</v>
      </c>
    </row>
    <row r="189" spans="1:12" x14ac:dyDescent="0.3">
      <c r="A189" s="17">
        <v>188</v>
      </c>
      <c r="B189" s="23" t="s">
        <v>283</v>
      </c>
      <c r="C189" s="10" t="s">
        <v>284</v>
      </c>
      <c r="D189" s="10" t="s">
        <v>347</v>
      </c>
      <c r="E189" s="9">
        <v>9834512726</v>
      </c>
      <c r="F189" s="11">
        <v>46204</v>
      </c>
      <c r="G189" s="12">
        <v>0.78336805555555555</v>
      </c>
      <c r="H189" s="12">
        <v>0.79101851851851857</v>
      </c>
      <c r="I189" s="12" t="str">
        <f>TEXT(tblAttendance[[#This Row],[Date]],"mmm")</f>
        <v>Jul</v>
      </c>
      <c r="J189" s="12" t="str">
        <f>TEXT(tblAttendance[[#This Row],[Date]],"yyyy")</f>
        <v>2026</v>
      </c>
      <c r="K189" s="12" t="str">
        <f>TEXT(tblAttendance[[#This Row],[Date]],"dddd")</f>
        <v>Wednesday</v>
      </c>
      <c r="L189" s="29" t="str">
        <f>_xlfn.XLOOKUP(tblAttendance[[#This Row],[Student_ID]],tblStudents[Student_ID],tblStudents[Address])</f>
        <v>Ahilya Nagar, Maharashtra</v>
      </c>
    </row>
    <row r="190" spans="1:12" x14ac:dyDescent="0.3">
      <c r="A190" s="17">
        <v>189</v>
      </c>
      <c r="B190" s="23" t="s">
        <v>285</v>
      </c>
      <c r="C190" s="10" t="s">
        <v>286</v>
      </c>
      <c r="D190" s="10" t="s">
        <v>346</v>
      </c>
      <c r="E190" s="9">
        <v>9834512727</v>
      </c>
      <c r="F190" s="11">
        <v>46204</v>
      </c>
      <c r="G190" s="12">
        <v>0.78341435185185182</v>
      </c>
      <c r="H190" s="12">
        <v>0.79105324074074079</v>
      </c>
      <c r="I190" s="12" t="str">
        <f>TEXT(tblAttendance[[#This Row],[Date]],"mmm")</f>
        <v>Jul</v>
      </c>
      <c r="J190" s="12" t="str">
        <f>TEXT(tblAttendance[[#This Row],[Date]],"yyyy")</f>
        <v>2026</v>
      </c>
      <c r="K190" s="12" t="str">
        <f>TEXT(tblAttendance[[#This Row],[Date]],"dddd")</f>
        <v>Wednesday</v>
      </c>
      <c r="L190" s="29" t="str">
        <f>_xlfn.XLOOKUP(tblAttendance[[#This Row],[Student_ID]],tblStudents[Student_ID],tblStudents[Address])</f>
        <v>Shrirampur</v>
      </c>
    </row>
    <row r="191" spans="1:12" x14ac:dyDescent="0.3">
      <c r="A191" s="17">
        <v>190</v>
      </c>
      <c r="B191" s="23" t="s">
        <v>288</v>
      </c>
      <c r="C191" s="10" t="s">
        <v>289</v>
      </c>
      <c r="D191" s="10" t="s">
        <v>346</v>
      </c>
      <c r="E191" s="9">
        <v>9834512728</v>
      </c>
      <c r="F191" s="11">
        <v>46204</v>
      </c>
      <c r="G191" s="12">
        <v>0.78344907407407405</v>
      </c>
      <c r="H191" s="12">
        <v>0.79112268518518514</v>
      </c>
      <c r="I191" s="12" t="str">
        <f>TEXT(tblAttendance[[#This Row],[Date]],"mmm")</f>
        <v>Jul</v>
      </c>
      <c r="J191" s="12" t="str">
        <f>TEXT(tblAttendance[[#This Row],[Date]],"yyyy")</f>
        <v>2026</v>
      </c>
      <c r="K191" s="12" t="str">
        <f>TEXT(tblAttendance[[#This Row],[Date]],"dddd")</f>
        <v>Wednesday</v>
      </c>
      <c r="L191" s="29" t="str">
        <f>_xlfn.XLOOKUP(tblAttendance[[#This Row],[Student_ID]],tblStudents[Student_ID],tblStudents[Address])</f>
        <v>Sangamner</v>
      </c>
    </row>
    <row r="192" spans="1:12" x14ac:dyDescent="0.3">
      <c r="A192" s="17">
        <v>191</v>
      </c>
      <c r="B192" s="23" t="s">
        <v>291</v>
      </c>
      <c r="C192" s="10" t="s">
        <v>292</v>
      </c>
      <c r="D192" s="10" t="s">
        <v>344</v>
      </c>
      <c r="E192" s="9">
        <v>9834512729</v>
      </c>
      <c r="F192" s="11">
        <v>46204</v>
      </c>
      <c r="G192" s="12">
        <v>0.78349537037037043</v>
      </c>
      <c r="H192" s="12">
        <v>0.79121527777777778</v>
      </c>
      <c r="I192" s="12" t="str">
        <f>TEXT(tblAttendance[[#This Row],[Date]],"mmm")</f>
        <v>Jul</v>
      </c>
      <c r="J192" s="12" t="str">
        <f>TEXT(tblAttendance[[#This Row],[Date]],"yyyy")</f>
        <v>2026</v>
      </c>
      <c r="K192" s="12" t="str">
        <f>TEXT(tblAttendance[[#This Row],[Date]],"dddd")</f>
        <v>Wednesday</v>
      </c>
      <c r="L192" s="29" t="str">
        <f>_xlfn.XLOOKUP(tblAttendance[[#This Row],[Student_ID]],tblStudents[Student_ID],tblStudents[Address])</f>
        <v>Rahata</v>
      </c>
    </row>
    <row r="193" spans="1:12" x14ac:dyDescent="0.3">
      <c r="A193" s="17">
        <v>192</v>
      </c>
      <c r="B193" s="23" t="s">
        <v>294</v>
      </c>
      <c r="C193" s="10" t="s">
        <v>295</v>
      </c>
      <c r="D193" s="10" t="s">
        <v>344</v>
      </c>
      <c r="E193" s="9">
        <v>9834512730</v>
      </c>
      <c r="F193" s="11">
        <v>46204</v>
      </c>
      <c r="G193" s="12">
        <v>0.78353009259259254</v>
      </c>
      <c r="H193" s="12">
        <v>0.79126157407407405</v>
      </c>
      <c r="I193" s="12" t="str">
        <f>TEXT(tblAttendance[[#This Row],[Date]],"mmm")</f>
        <v>Jul</v>
      </c>
      <c r="J193" s="12" t="str">
        <f>TEXT(tblAttendance[[#This Row],[Date]],"yyyy")</f>
        <v>2026</v>
      </c>
      <c r="K193" s="12" t="str">
        <f>TEXT(tblAttendance[[#This Row],[Date]],"dddd")</f>
        <v>Wednesday</v>
      </c>
      <c r="L193" s="29" t="str">
        <f>_xlfn.XLOOKUP(tblAttendance[[#This Row],[Student_ID]],tblStudents[Student_ID],tblStudents[Address])</f>
        <v>Rahuri</v>
      </c>
    </row>
    <row r="194" spans="1:12" x14ac:dyDescent="0.3">
      <c r="A194" s="17">
        <v>193</v>
      </c>
      <c r="B194" s="23" t="s">
        <v>297</v>
      </c>
      <c r="C194" s="10" t="s">
        <v>298</v>
      </c>
      <c r="D194" s="10" t="s">
        <v>343</v>
      </c>
      <c r="E194" s="9">
        <v>9834512731</v>
      </c>
      <c r="F194" s="11">
        <v>46204</v>
      </c>
      <c r="G194" s="12">
        <v>0.78356481481481477</v>
      </c>
      <c r="H194" s="12">
        <v>0.79131944444444446</v>
      </c>
      <c r="I194" s="12" t="str">
        <f>TEXT(tblAttendance[[#This Row],[Date]],"mmm")</f>
        <v>Jul</v>
      </c>
      <c r="J194" s="12" t="str">
        <f>TEXT(tblAttendance[[#This Row],[Date]],"yyyy")</f>
        <v>2026</v>
      </c>
      <c r="K194" s="12" t="str">
        <f>TEXT(tblAttendance[[#This Row],[Date]],"dddd")</f>
        <v>Wednesday</v>
      </c>
      <c r="L194" s="29" t="str">
        <f>_xlfn.XLOOKUP(tblAttendance[[#This Row],[Student_ID]],tblStudents[Student_ID],tblStudents[Address])</f>
        <v>Pathardi</v>
      </c>
    </row>
    <row r="195" spans="1:12" x14ac:dyDescent="0.3">
      <c r="A195" s="17">
        <v>194</v>
      </c>
      <c r="B195" s="23" t="s">
        <v>300</v>
      </c>
      <c r="C195" s="10" t="s">
        <v>301</v>
      </c>
      <c r="D195" s="10" t="s">
        <v>342</v>
      </c>
      <c r="E195" s="9">
        <v>9834512732</v>
      </c>
      <c r="F195" s="11">
        <v>46204</v>
      </c>
      <c r="G195" s="12">
        <v>0.783599537037037</v>
      </c>
      <c r="H195" s="12">
        <v>0.79136574074074073</v>
      </c>
      <c r="I195" s="12" t="str">
        <f>TEXT(tblAttendance[[#This Row],[Date]],"mmm")</f>
        <v>Jul</v>
      </c>
      <c r="J195" s="12" t="str">
        <f>TEXT(tblAttendance[[#This Row],[Date]],"yyyy")</f>
        <v>2026</v>
      </c>
      <c r="K195" s="12" t="str">
        <f>TEXT(tblAttendance[[#This Row],[Date]],"dddd")</f>
        <v>Wednesday</v>
      </c>
      <c r="L195" s="29" t="str">
        <f>_xlfn.XLOOKUP(tblAttendance[[#This Row],[Student_ID]],tblStudents[Student_ID],tblStudents[Address])</f>
        <v>Nevasa</v>
      </c>
    </row>
    <row r="196" spans="1:12" x14ac:dyDescent="0.3">
      <c r="A196" s="17">
        <v>195</v>
      </c>
      <c r="B196" s="23" t="s">
        <v>303</v>
      </c>
      <c r="C196" s="10" t="s">
        <v>304</v>
      </c>
      <c r="D196" s="10" t="s">
        <v>341</v>
      </c>
      <c r="E196" s="9">
        <v>9834512733</v>
      </c>
      <c r="F196" s="11">
        <v>46204</v>
      </c>
      <c r="G196" s="12">
        <v>0.78363425925925922</v>
      </c>
      <c r="H196" s="12">
        <v>0.79140046296296296</v>
      </c>
      <c r="I196" s="12" t="str">
        <f>TEXT(tblAttendance[[#This Row],[Date]],"mmm")</f>
        <v>Jul</v>
      </c>
      <c r="J196" s="12" t="str">
        <f>TEXT(tblAttendance[[#This Row],[Date]],"yyyy")</f>
        <v>2026</v>
      </c>
      <c r="K196" s="12" t="str">
        <f>TEXT(tblAttendance[[#This Row],[Date]],"dddd")</f>
        <v>Wednesday</v>
      </c>
      <c r="L196" s="29" t="str">
        <f>_xlfn.XLOOKUP(tblAttendance[[#This Row],[Student_ID]],tblStudents[Student_ID],tblStudents[Address])</f>
        <v>Shevgaon</v>
      </c>
    </row>
    <row r="197" spans="1:12" x14ac:dyDescent="0.3">
      <c r="A197" s="17">
        <v>196</v>
      </c>
      <c r="B197" s="23" t="s">
        <v>306</v>
      </c>
      <c r="C197" s="10" t="s">
        <v>307</v>
      </c>
      <c r="D197" s="10" t="s">
        <v>340</v>
      </c>
      <c r="E197" s="9">
        <v>9834512734</v>
      </c>
      <c r="F197" s="11">
        <v>46204</v>
      </c>
      <c r="G197" s="12">
        <v>0.78369212962962964</v>
      </c>
      <c r="H197" s="12">
        <v>0.79150462962962964</v>
      </c>
      <c r="I197" s="12" t="str">
        <f>TEXT(tblAttendance[[#This Row],[Date]],"mmm")</f>
        <v>Jul</v>
      </c>
      <c r="J197" s="12" t="str">
        <f>TEXT(tblAttendance[[#This Row],[Date]],"yyyy")</f>
        <v>2026</v>
      </c>
      <c r="K197" s="12" t="str">
        <f>TEXT(tblAttendance[[#This Row],[Date]],"dddd")</f>
        <v>Wednesday</v>
      </c>
      <c r="L197" s="29" t="str">
        <f>_xlfn.XLOOKUP(tblAttendance[[#This Row],[Student_ID]],tblStudents[Student_ID],tblStudents[Address])</f>
        <v>Jamkhed</v>
      </c>
    </row>
    <row r="198" spans="1:12" x14ac:dyDescent="0.3">
      <c r="A198" s="17">
        <v>197</v>
      </c>
      <c r="B198" s="23" t="s">
        <v>309</v>
      </c>
      <c r="C198" s="10" t="s">
        <v>310</v>
      </c>
      <c r="D198" s="10" t="s">
        <v>342</v>
      </c>
      <c r="E198" s="9">
        <v>9834512735</v>
      </c>
      <c r="F198" s="11">
        <v>46204</v>
      </c>
      <c r="G198" s="12">
        <v>0.78373842592592591</v>
      </c>
      <c r="H198" s="12">
        <v>0.79155092592592591</v>
      </c>
      <c r="I198" s="12" t="str">
        <f>TEXT(tblAttendance[[#This Row],[Date]],"mmm")</f>
        <v>Jul</v>
      </c>
      <c r="J198" s="12" t="str">
        <f>TEXT(tblAttendance[[#This Row],[Date]],"yyyy")</f>
        <v>2026</v>
      </c>
      <c r="K198" s="12" t="str">
        <f>TEXT(tblAttendance[[#This Row],[Date]],"dddd")</f>
        <v>Wednesday</v>
      </c>
      <c r="L198" s="29" t="str">
        <f>_xlfn.XLOOKUP(tblAttendance[[#This Row],[Student_ID]],tblStudents[Student_ID],tblStudents[Address])</f>
        <v>Karjat, Ahilya Nagar, Maharashtra</v>
      </c>
    </row>
    <row r="199" spans="1:12" x14ac:dyDescent="0.3">
      <c r="A199" s="17">
        <v>198</v>
      </c>
      <c r="B199" s="23" t="s">
        <v>81</v>
      </c>
      <c r="C199" s="10" t="s">
        <v>82</v>
      </c>
      <c r="D199" s="10" t="s">
        <v>344</v>
      </c>
      <c r="E199" s="9">
        <v>9876501221</v>
      </c>
      <c r="F199" s="11">
        <v>46204</v>
      </c>
      <c r="G199" s="12">
        <v>0.78540509259259261</v>
      </c>
      <c r="H199" s="12">
        <v>0.78543981481481484</v>
      </c>
      <c r="I199" s="12" t="str">
        <f>TEXT(tblAttendance[[#This Row],[Date]],"mmm")</f>
        <v>Jul</v>
      </c>
      <c r="J199" s="12" t="str">
        <f>TEXT(tblAttendance[[#This Row],[Date]],"yyyy")</f>
        <v>2026</v>
      </c>
      <c r="K199" s="12" t="str">
        <f>TEXT(tblAttendance[[#This Row],[Date]],"dddd")</f>
        <v>Wednesday</v>
      </c>
      <c r="L199" s="29" t="str">
        <f>_xlfn.XLOOKUP(tblAttendance[[#This Row],[Student_ID]],tblStudents[Student_ID],tblStudents[Address])</f>
        <v>Pune, Maharashtra</v>
      </c>
    </row>
    <row r="200" spans="1:12" x14ac:dyDescent="0.3">
      <c r="A200" s="17">
        <v>199</v>
      </c>
      <c r="B200" s="23" t="s">
        <v>83</v>
      </c>
      <c r="C200" s="10" t="s">
        <v>84</v>
      </c>
      <c r="D200" s="10" t="s">
        <v>344</v>
      </c>
      <c r="E200" s="9">
        <v>9876501222</v>
      </c>
      <c r="F200" s="11">
        <v>46204</v>
      </c>
      <c r="G200" s="12">
        <v>0.7855671296296296</v>
      </c>
      <c r="H200" s="12">
        <v>0.78560185185185183</v>
      </c>
      <c r="I200" s="12" t="str">
        <f>TEXT(tblAttendance[[#This Row],[Date]],"mmm")</f>
        <v>Jul</v>
      </c>
      <c r="J200" s="12" t="str">
        <f>TEXT(tblAttendance[[#This Row],[Date]],"yyyy")</f>
        <v>2026</v>
      </c>
      <c r="K200" s="12" t="str">
        <f>TEXT(tblAttendance[[#This Row],[Date]],"dddd")</f>
        <v>Wednesday</v>
      </c>
      <c r="L200" s="29" t="str">
        <f>_xlfn.XLOOKUP(tblAttendance[[#This Row],[Student_ID]],tblStudents[Student_ID],tblStudents[Address])</f>
        <v>Navi Mumbai, Maharashtra</v>
      </c>
    </row>
    <row r="201" spans="1:12" x14ac:dyDescent="0.3">
      <c r="A201" s="17">
        <v>200</v>
      </c>
      <c r="B201" s="23" t="s">
        <v>134</v>
      </c>
      <c r="C201" s="10" t="s">
        <v>135</v>
      </c>
      <c r="D201" s="10" t="s">
        <v>340</v>
      </c>
      <c r="E201" s="9">
        <v>9876501240</v>
      </c>
      <c r="F201" s="11">
        <v>46204</v>
      </c>
      <c r="G201" s="12">
        <v>0.78744212962962967</v>
      </c>
      <c r="H201" s="12">
        <v>0.7874768518518519</v>
      </c>
      <c r="I201" s="12" t="str">
        <f>TEXT(tblAttendance[[#This Row],[Date]],"mmm")</f>
        <v>Jul</v>
      </c>
      <c r="J201" s="12" t="str">
        <f>TEXT(tblAttendance[[#This Row],[Date]],"yyyy")</f>
        <v>2026</v>
      </c>
      <c r="K201" s="12" t="str">
        <f>TEXT(tblAttendance[[#This Row],[Date]],"dddd")</f>
        <v>Wednesday</v>
      </c>
      <c r="L201" s="29" t="str">
        <f>_xlfn.XLOOKUP(tblAttendance[[#This Row],[Student_ID]],tblStudents[Student_ID],tblStudents[Address])</f>
        <v>Pune, Maharashtra</v>
      </c>
    </row>
    <row r="202" spans="1:12" x14ac:dyDescent="0.3">
      <c r="A202" s="17">
        <v>201</v>
      </c>
      <c r="B202" s="23" t="s">
        <v>27</v>
      </c>
      <c r="C202" s="10" t="s">
        <v>24</v>
      </c>
      <c r="D202" s="10" t="s">
        <v>349</v>
      </c>
      <c r="E202" s="9">
        <v>9876501201</v>
      </c>
      <c r="F202" s="11">
        <v>46206</v>
      </c>
      <c r="G202" s="12">
        <v>0.72253472222222226</v>
      </c>
      <c r="H202" s="12">
        <v>0.72655092592592596</v>
      </c>
      <c r="I202" s="12" t="str">
        <f>TEXT(tblAttendance[[#This Row],[Date]],"mmm")</f>
        <v>Jul</v>
      </c>
      <c r="J202" s="12" t="str">
        <f>TEXT(tblAttendance[[#This Row],[Date]],"yyyy")</f>
        <v>2026</v>
      </c>
      <c r="K202" s="12" t="str">
        <f>TEXT(tblAttendance[[#This Row],[Date]],"dddd")</f>
        <v>Friday</v>
      </c>
      <c r="L202" s="29" t="str">
        <f>_xlfn.XLOOKUP(tblAttendance[[#This Row],[Student_ID]],tblStudents[Student_ID],tblStudents[Address])</f>
        <v>Pune, Maharashtra</v>
      </c>
    </row>
    <row r="203" spans="1:12" x14ac:dyDescent="0.3">
      <c r="A203" s="17">
        <v>202</v>
      </c>
      <c r="B203" s="23" t="s">
        <v>28</v>
      </c>
      <c r="C203" s="10" t="s">
        <v>29</v>
      </c>
      <c r="D203" s="10" t="s">
        <v>350</v>
      </c>
      <c r="E203" s="9">
        <v>9876501202</v>
      </c>
      <c r="F203" s="11">
        <v>46206</v>
      </c>
      <c r="G203" s="12">
        <v>0.72259259259259256</v>
      </c>
      <c r="H203" s="12">
        <v>0.72664351851851849</v>
      </c>
      <c r="I203" s="12" t="str">
        <f>TEXT(tblAttendance[[#This Row],[Date]],"mmm")</f>
        <v>Jul</v>
      </c>
      <c r="J203" s="12" t="str">
        <f>TEXT(tblAttendance[[#This Row],[Date]],"yyyy")</f>
        <v>2026</v>
      </c>
      <c r="K203" s="12" t="str">
        <f>TEXT(tblAttendance[[#This Row],[Date]],"dddd")</f>
        <v>Friday</v>
      </c>
      <c r="L203" s="29" t="str">
        <f>_xlfn.XLOOKUP(tblAttendance[[#This Row],[Student_ID]],tblStudents[Student_ID],tblStudents[Address])</f>
        <v>Nashik, Maharashtra</v>
      </c>
    </row>
    <row r="204" spans="1:12" x14ac:dyDescent="0.3">
      <c r="A204" s="17">
        <v>203</v>
      </c>
      <c r="B204" s="23" t="s">
        <v>31</v>
      </c>
      <c r="C204" s="10" t="s">
        <v>32</v>
      </c>
      <c r="D204" s="10" t="s">
        <v>344</v>
      </c>
      <c r="E204" s="9">
        <v>9876501203</v>
      </c>
      <c r="F204" s="11">
        <v>46206</v>
      </c>
      <c r="G204" s="12">
        <v>0.72262731481481479</v>
      </c>
      <c r="H204" s="12">
        <v>0.72668981481481476</v>
      </c>
      <c r="I204" s="12" t="str">
        <f>TEXT(tblAttendance[[#This Row],[Date]],"mmm")</f>
        <v>Jul</v>
      </c>
      <c r="J204" s="12" t="str">
        <f>TEXT(tblAttendance[[#This Row],[Date]],"yyyy")</f>
        <v>2026</v>
      </c>
      <c r="K204" s="12" t="str">
        <f>TEXT(tblAttendance[[#This Row],[Date]],"dddd")</f>
        <v>Friday</v>
      </c>
      <c r="L204" s="29" t="str">
        <f>_xlfn.XLOOKUP(tblAttendance[[#This Row],[Student_ID]],tblStudents[Student_ID],tblStudents[Address])</f>
        <v>Nagpur, Maharashtra</v>
      </c>
    </row>
    <row r="205" spans="1:12" x14ac:dyDescent="0.3">
      <c r="A205" s="17">
        <v>204</v>
      </c>
      <c r="B205" s="23" t="s">
        <v>34</v>
      </c>
      <c r="C205" s="10" t="s">
        <v>35</v>
      </c>
      <c r="D205" s="10" t="s">
        <v>350</v>
      </c>
      <c r="E205" s="9">
        <v>9876501204</v>
      </c>
      <c r="F205" s="11">
        <v>46206</v>
      </c>
      <c r="G205" s="12">
        <v>0.72267361111111106</v>
      </c>
      <c r="H205" s="12">
        <v>0.72673611111111114</v>
      </c>
      <c r="I205" s="12" t="str">
        <f>TEXT(tblAttendance[[#This Row],[Date]],"mmm")</f>
        <v>Jul</v>
      </c>
      <c r="J205" s="12" t="str">
        <f>TEXT(tblAttendance[[#This Row],[Date]],"yyyy")</f>
        <v>2026</v>
      </c>
      <c r="K205" s="12" t="str">
        <f>TEXT(tblAttendance[[#This Row],[Date]],"dddd")</f>
        <v>Friday</v>
      </c>
      <c r="L205" s="29" t="str">
        <f>_xlfn.XLOOKUP(tblAttendance[[#This Row],[Student_ID]],tblStudents[Student_ID],tblStudents[Address])</f>
        <v>Mumbai, Maharashtra</v>
      </c>
    </row>
    <row r="206" spans="1:12" x14ac:dyDescent="0.3">
      <c r="A206" s="17">
        <v>205</v>
      </c>
      <c r="B206" s="23" t="s">
        <v>37</v>
      </c>
      <c r="C206" s="10" t="s">
        <v>38</v>
      </c>
      <c r="D206" s="10" t="s">
        <v>350</v>
      </c>
      <c r="E206" s="9">
        <v>9876501205</v>
      </c>
      <c r="F206" s="11">
        <v>46206</v>
      </c>
      <c r="G206" s="12">
        <v>0.72270833333333329</v>
      </c>
      <c r="H206" s="12">
        <v>0.7267824074074074</v>
      </c>
      <c r="I206" s="12" t="str">
        <f>TEXT(tblAttendance[[#This Row],[Date]],"mmm")</f>
        <v>Jul</v>
      </c>
      <c r="J206" s="12" t="str">
        <f>TEXT(tblAttendance[[#This Row],[Date]],"yyyy")</f>
        <v>2026</v>
      </c>
      <c r="K206" s="12" t="str">
        <f>TEXT(tblAttendance[[#This Row],[Date]],"dddd")</f>
        <v>Friday</v>
      </c>
      <c r="L206" s="29" t="str">
        <f>_xlfn.XLOOKUP(tblAttendance[[#This Row],[Student_ID]],tblStudents[Student_ID],tblStudents[Address])</f>
        <v>Chhatrapati Sambhajinagar, Maharashtra</v>
      </c>
    </row>
    <row r="207" spans="1:12" x14ac:dyDescent="0.3">
      <c r="A207" s="17">
        <v>206</v>
      </c>
      <c r="B207" s="23" t="s">
        <v>23</v>
      </c>
      <c r="C207" s="10" t="s">
        <v>40</v>
      </c>
      <c r="D207" s="10" t="s">
        <v>344</v>
      </c>
      <c r="E207" s="9">
        <v>9876501206</v>
      </c>
      <c r="F207" s="11">
        <v>46206</v>
      </c>
      <c r="G207" s="12">
        <v>0.72275462962962966</v>
      </c>
      <c r="H207" s="12">
        <v>0.72681712962962963</v>
      </c>
      <c r="I207" s="12" t="str">
        <f>TEXT(tblAttendance[[#This Row],[Date]],"mmm")</f>
        <v>Jul</v>
      </c>
      <c r="J207" s="12" t="str">
        <f>TEXT(tblAttendance[[#This Row],[Date]],"yyyy")</f>
        <v>2026</v>
      </c>
      <c r="K207" s="12" t="str">
        <f>TEXT(tblAttendance[[#This Row],[Date]],"dddd")</f>
        <v>Friday</v>
      </c>
      <c r="L207" s="29" t="str">
        <f>_xlfn.XLOOKUP(tblAttendance[[#This Row],[Student_ID]],tblStudents[Student_ID],tblStudents[Address])</f>
        <v>Jalna, Maharashtra</v>
      </c>
    </row>
    <row r="208" spans="1:12" x14ac:dyDescent="0.3">
      <c r="A208" s="17">
        <v>207</v>
      </c>
      <c r="B208" s="23" t="s">
        <v>42</v>
      </c>
      <c r="C208" s="10" t="s">
        <v>43</v>
      </c>
      <c r="D208" s="10" t="s">
        <v>344</v>
      </c>
      <c r="E208" s="9">
        <v>9876501207</v>
      </c>
      <c r="F208" s="11">
        <v>46206</v>
      </c>
      <c r="G208" s="12">
        <v>0.72278935185185189</v>
      </c>
      <c r="H208" s="12">
        <v>0.72687500000000005</v>
      </c>
      <c r="I208" s="12" t="str">
        <f>TEXT(tblAttendance[[#This Row],[Date]],"mmm")</f>
        <v>Jul</v>
      </c>
      <c r="J208" s="12" t="str">
        <f>TEXT(tblAttendance[[#This Row],[Date]],"yyyy")</f>
        <v>2026</v>
      </c>
      <c r="K208" s="12" t="str">
        <f>TEXT(tblAttendance[[#This Row],[Date]],"dddd")</f>
        <v>Friday</v>
      </c>
      <c r="L208" s="29" t="str">
        <f>_xlfn.XLOOKUP(tblAttendance[[#This Row],[Student_ID]],tblStudents[Student_ID],tblStudents[Address])</f>
        <v>Pune, Maharashtra</v>
      </c>
    </row>
    <row r="209" spans="1:12" x14ac:dyDescent="0.3">
      <c r="A209" s="17">
        <v>208</v>
      </c>
      <c r="B209" s="23" t="s">
        <v>44</v>
      </c>
      <c r="C209" s="10" t="s">
        <v>45</v>
      </c>
      <c r="D209" s="10" t="s">
        <v>350</v>
      </c>
      <c r="E209" s="9">
        <v>9876501208</v>
      </c>
      <c r="F209" s="11">
        <v>46206</v>
      </c>
      <c r="G209" s="12">
        <v>0.72282407407407412</v>
      </c>
      <c r="H209" s="12">
        <v>0.72692129629629632</v>
      </c>
      <c r="I209" s="12" t="str">
        <f>TEXT(tblAttendance[[#This Row],[Date]],"mmm")</f>
        <v>Jul</v>
      </c>
      <c r="J209" s="12" t="str">
        <f>TEXT(tblAttendance[[#This Row],[Date]],"yyyy")</f>
        <v>2026</v>
      </c>
      <c r="K209" s="12" t="str">
        <f>TEXT(tblAttendance[[#This Row],[Date]],"dddd")</f>
        <v>Friday</v>
      </c>
      <c r="L209" s="29" t="str">
        <f>_xlfn.XLOOKUP(tblAttendance[[#This Row],[Student_ID]],tblStudents[Student_ID],tblStudents[Address])</f>
        <v>Kolhapur, Maharashtra</v>
      </c>
    </row>
    <row r="210" spans="1:12" x14ac:dyDescent="0.3">
      <c r="A210" s="17">
        <v>209</v>
      </c>
      <c r="B210" s="23" t="s">
        <v>47</v>
      </c>
      <c r="C210" s="10" t="s">
        <v>48</v>
      </c>
      <c r="D210" s="10" t="s">
        <v>349</v>
      </c>
      <c r="E210" s="9">
        <v>9876501209</v>
      </c>
      <c r="F210" s="11">
        <v>46206</v>
      </c>
      <c r="G210" s="12">
        <v>0.72285879629629635</v>
      </c>
      <c r="H210" s="12">
        <v>0.72696759259259258</v>
      </c>
      <c r="I210" s="12" t="str">
        <f>TEXT(tblAttendance[[#This Row],[Date]],"mmm")</f>
        <v>Jul</v>
      </c>
      <c r="J210" s="12" t="str">
        <f>TEXT(tblAttendance[[#This Row],[Date]],"yyyy")</f>
        <v>2026</v>
      </c>
      <c r="K210" s="12" t="str">
        <f>TEXT(tblAttendance[[#This Row],[Date]],"dddd")</f>
        <v>Friday</v>
      </c>
      <c r="L210" s="29" t="str">
        <f>_xlfn.XLOOKUP(tblAttendance[[#This Row],[Student_ID]],tblStudents[Student_ID],tblStudents[Address])</f>
        <v>Solapur, Maharashtra</v>
      </c>
    </row>
    <row r="211" spans="1:12" x14ac:dyDescent="0.3">
      <c r="A211" s="17">
        <v>210</v>
      </c>
      <c r="B211" s="23" t="s">
        <v>50</v>
      </c>
      <c r="C211" s="10" t="s">
        <v>51</v>
      </c>
      <c r="D211" s="10" t="s">
        <v>349</v>
      </c>
      <c r="E211" s="9">
        <v>9876501210</v>
      </c>
      <c r="F211" s="11">
        <v>46206</v>
      </c>
      <c r="G211" s="12">
        <v>0.72291666666666665</v>
      </c>
      <c r="H211" s="12">
        <v>0.727025462962963</v>
      </c>
      <c r="I211" s="12" t="str">
        <f>TEXT(tblAttendance[[#This Row],[Date]],"mmm")</f>
        <v>Jul</v>
      </c>
      <c r="J211" s="12" t="str">
        <f>TEXT(tblAttendance[[#This Row],[Date]],"yyyy")</f>
        <v>2026</v>
      </c>
      <c r="K211" s="12" t="str">
        <f>TEXT(tblAttendance[[#This Row],[Date]],"dddd")</f>
        <v>Friday</v>
      </c>
      <c r="L211" s="29" t="str">
        <f>_xlfn.XLOOKUP(tblAttendance[[#This Row],[Student_ID]],tblStudents[Student_ID],tblStudents[Address])</f>
        <v>Satara, Maharashtra</v>
      </c>
    </row>
    <row r="212" spans="1:12" x14ac:dyDescent="0.3">
      <c r="A212" s="17">
        <v>211</v>
      </c>
      <c r="B212" s="23" t="s">
        <v>53</v>
      </c>
      <c r="C212" s="10" t="s">
        <v>54</v>
      </c>
      <c r="D212" s="10" t="s">
        <v>350</v>
      </c>
      <c r="E212" s="9">
        <v>9876501211</v>
      </c>
      <c r="F212" s="11">
        <v>46206</v>
      </c>
      <c r="G212" s="12">
        <v>0.72295138888888888</v>
      </c>
      <c r="H212" s="12">
        <v>0.7270833333333333</v>
      </c>
      <c r="I212" s="12" t="str">
        <f>TEXT(tblAttendance[[#This Row],[Date]],"mmm")</f>
        <v>Jul</v>
      </c>
      <c r="J212" s="12" t="str">
        <f>TEXT(tblAttendance[[#This Row],[Date]],"yyyy")</f>
        <v>2026</v>
      </c>
      <c r="K212" s="12" t="str">
        <f>TEXT(tblAttendance[[#This Row],[Date]],"dddd")</f>
        <v>Friday</v>
      </c>
      <c r="L212" s="29" t="str">
        <f>_xlfn.XLOOKUP(tblAttendance[[#This Row],[Student_ID]],tblStudents[Student_ID],tblStudents[Address])</f>
        <v>Sangli, Maharashtra</v>
      </c>
    </row>
    <row r="213" spans="1:12" x14ac:dyDescent="0.3">
      <c r="A213" s="17">
        <v>212</v>
      </c>
      <c r="B213" s="23" t="s">
        <v>56</v>
      </c>
      <c r="C213" s="10" t="s">
        <v>57</v>
      </c>
      <c r="D213" s="10" t="s">
        <v>350</v>
      </c>
      <c r="E213" s="9">
        <v>9876501212</v>
      </c>
      <c r="F213" s="11">
        <v>46206</v>
      </c>
      <c r="G213" s="12">
        <v>0.72298611111111111</v>
      </c>
      <c r="H213" s="12">
        <v>0.72714120370370372</v>
      </c>
      <c r="I213" s="12" t="str">
        <f>TEXT(tblAttendance[[#This Row],[Date]],"mmm")</f>
        <v>Jul</v>
      </c>
      <c r="J213" s="12" t="str">
        <f>TEXT(tblAttendance[[#This Row],[Date]],"yyyy")</f>
        <v>2026</v>
      </c>
      <c r="K213" s="12" t="str">
        <f>TEXT(tblAttendance[[#This Row],[Date]],"dddd")</f>
        <v>Friday</v>
      </c>
      <c r="L213" s="29" t="str">
        <f>_xlfn.XLOOKUP(tblAttendance[[#This Row],[Student_ID]],tblStudents[Student_ID],tblStudents[Address])</f>
        <v>Ahilya Nagar, Maharashtra</v>
      </c>
    </row>
    <row r="214" spans="1:12" x14ac:dyDescent="0.3">
      <c r="A214" s="17">
        <v>213</v>
      </c>
      <c r="B214" s="23" t="s">
        <v>58</v>
      </c>
      <c r="C214" s="10" t="s">
        <v>59</v>
      </c>
      <c r="D214" s="10" t="s">
        <v>350</v>
      </c>
      <c r="E214" s="9">
        <v>9876501213</v>
      </c>
      <c r="F214" s="11">
        <v>46206</v>
      </c>
      <c r="G214" s="12">
        <v>0.72302083333333333</v>
      </c>
      <c r="H214" s="12">
        <v>0.72717592592592595</v>
      </c>
      <c r="I214" s="12" t="str">
        <f>TEXT(tblAttendance[[#This Row],[Date]],"mmm")</f>
        <v>Jul</v>
      </c>
      <c r="J214" s="12" t="str">
        <f>TEXT(tblAttendance[[#This Row],[Date]],"yyyy")</f>
        <v>2026</v>
      </c>
      <c r="K214" s="12" t="str">
        <f>TEXT(tblAttendance[[#This Row],[Date]],"dddd")</f>
        <v>Friday</v>
      </c>
      <c r="L214" s="29" t="str">
        <f>_xlfn.XLOOKUP(tblAttendance[[#This Row],[Student_ID]],tblStudents[Student_ID],tblStudents[Address])</f>
        <v>Beed, Maharashtra</v>
      </c>
    </row>
    <row r="215" spans="1:12" x14ac:dyDescent="0.3">
      <c r="A215" s="17">
        <v>214</v>
      </c>
      <c r="B215" s="23" t="s">
        <v>61</v>
      </c>
      <c r="C215" s="10" t="s">
        <v>62</v>
      </c>
      <c r="D215" s="10" t="s">
        <v>344</v>
      </c>
      <c r="E215" s="9">
        <v>9876501214</v>
      </c>
      <c r="F215" s="11">
        <v>46206</v>
      </c>
      <c r="G215" s="12">
        <v>0.72305555555555556</v>
      </c>
      <c r="H215" s="12">
        <v>0.72722222222222221</v>
      </c>
      <c r="I215" s="12" t="str">
        <f>TEXT(tblAttendance[[#This Row],[Date]],"mmm")</f>
        <v>Jul</v>
      </c>
      <c r="J215" s="12" t="str">
        <f>TEXT(tblAttendance[[#This Row],[Date]],"yyyy")</f>
        <v>2026</v>
      </c>
      <c r="K215" s="12" t="str">
        <f>TEXT(tblAttendance[[#This Row],[Date]],"dddd")</f>
        <v>Friday</v>
      </c>
      <c r="L215" s="29" t="str">
        <f>_xlfn.XLOOKUP(tblAttendance[[#This Row],[Student_ID]],tblStudents[Student_ID],tblStudents[Address])</f>
        <v>Latur, Maharashtra</v>
      </c>
    </row>
    <row r="216" spans="1:12" x14ac:dyDescent="0.3">
      <c r="A216" s="17">
        <v>215</v>
      </c>
      <c r="B216" s="23" t="s">
        <v>64</v>
      </c>
      <c r="C216" s="10" t="s">
        <v>65</v>
      </c>
      <c r="D216" s="10" t="s">
        <v>344</v>
      </c>
      <c r="E216" s="9">
        <v>9876501215</v>
      </c>
      <c r="F216" s="11">
        <v>46206</v>
      </c>
      <c r="G216" s="12">
        <v>0.72307870370370375</v>
      </c>
      <c r="H216" s="12">
        <v>0.72725694444444444</v>
      </c>
      <c r="I216" s="12" t="str">
        <f>TEXT(tblAttendance[[#This Row],[Date]],"mmm")</f>
        <v>Jul</v>
      </c>
      <c r="J216" s="12" t="str">
        <f>TEXT(tblAttendance[[#This Row],[Date]],"yyyy")</f>
        <v>2026</v>
      </c>
      <c r="K216" s="12" t="str">
        <f>TEXT(tblAttendance[[#This Row],[Date]],"dddd")</f>
        <v>Friday</v>
      </c>
      <c r="L216" s="29" t="str">
        <f>_xlfn.XLOOKUP(tblAttendance[[#This Row],[Student_ID]],tblStudents[Student_ID],tblStudents[Address])</f>
        <v>Akola, Maharashtra</v>
      </c>
    </row>
    <row r="217" spans="1:12" x14ac:dyDescent="0.3">
      <c r="A217" s="17">
        <v>216</v>
      </c>
      <c r="B217" s="23" t="s">
        <v>67</v>
      </c>
      <c r="C217" s="10" t="s">
        <v>68</v>
      </c>
      <c r="D217" s="10" t="s">
        <v>349</v>
      </c>
      <c r="E217" s="9">
        <v>9876501216</v>
      </c>
      <c r="F217" s="11">
        <v>46206</v>
      </c>
      <c r="G217" s="12">
        <v>0.72311342592592598</v>
      </c>
      <c r="H217" s="12">
        <v>0.72730324074074071</v>
      </c>
      <c r="I217" s="12" t="str">
        <f>TEXT(tblAttendance[[#This Row],[Date]],"mmm")</f>
        <v>Jul</v>
      </c>
      <c r="J217" s="12" t="str">
        <f>TEXT(tblAttendance[[#This Row],[Date]],"yyyy")</f>
        <v>2026</v>
      </c>
      <c r="K217" s="12" t="str">
        <f>TEXT(tblAttendance[[#This Row],[Date]],"dddd")</f>
        <v>Friday</v>
      </c>
      <c r="L217" s="29" t="str">
        <f>_xlfn.XLOOKUP(tblAttendance[[#This Row],[Student_ID]],tblStudents[Student_ID],tblStudents[Address])</f>
        <v>Dharashiv, Maharashtra</v>
      </c>
    </row>
    <row r="218" spans="1:12" x14ac:dyDescent="0.3">
      <c r="A218" s="17">
        <v>217</v>
      </c>
      <c r="B218" s="23" t="s">
        <v>70</v>
      </c>
      <c r="C218" s="10" t="s">
        <v>71</v>
      </c>
      <c r="D218" s="10" t="s">
        <v>344</v>
      </c>
      <c r="E218" s="9">
        <v>9876501217</v>
      </c>
      <c r="F218" s="11">
        <v>46206</v>
      </c>
      <c r="G218" s="12">
        <v>0.7231481481481481</v>
      </c>
      <c r="H218" s="12">
        <v>0.72733796296296294</v>
      </c>
      <c r="I218" s="12" t="str">
        <f>TEXT(tblAttendance[[#This Row],[Date]],"mmm")</f>
        <v>Jul</v>
      </c>
      <c r="J218" s="12" t="str">
        <f>TEXT(tblAttendance[[#This Row],[Date]],"yyyy")</f>
        <v>2026</v>
      </c>
      <c r="K218" s="12" t="str">
        <f>TEXT(tblAttendance[[#This Row],[Date]],"dddd")</f>
        <v>Friday</v>
      </c>
      <c r="L218" s="29" t="str">
        <f>_xlfn.XLOOKUP(tblAttendance[[#This Row],[Student_ID]],tblStudents[Student_ID],tblStudents[Address])</f>
        <v>Pune, Maharashtra</v>
      </c>
    </row>
    <row r="219" spans="1:12" x14ac:dyDescent="0.3">
      <c r="A219" s="17">
        <v>218</v>
      </c>
      <c r="B219" s="23" t="s">
        <v>72</v>
      </c>
      <c r="C219" s="10" t="s">
        <v>73</v>
      </c>
      <c r="D219" s="10" t="s">
        <v>349</v>
      </c>
      <c r="E219" s="9">
        <v>9876501218</v>
      </c>
      <c r="F219" s="11">
        <v>46206</v>
      </c>
      <c r="G219" s="12">
        <v>0.72318287037037032</v>
      </c>
      <c r="H219" s="12">
        <v>0.72738425925925931</v>
      </c>
      <c r="I219" s="12" t="str">
        <f>TEXT(tblAttendance[[#This Row],[Date]],"mmm")</f>
        <v>Jul</v>
      </c>
      <c r="J219" s="12" t="str">
        <f>TEXT(tblAttendance[[#This Row],[Date]],"yyyy")</f>
        <v>2026</v>
      </c>
      <c r="K219" s="12" t="str">
        <f>TEXT(tblAttendance[[#This Row],[Date]],"dddd")</f>
        <v>Friday</v>
      </c>
      <c r="L219" s="29" t="str">
        <f>_xlfn.XLOOKUP(tblAttendance[[#This Row],[Student_ID]],tblStudents[Student_ID],tblStudents[Address])</f>
        <v>Thane, Maharashtra</v>
      </c>
    </row>
    <row r="220" spans="1:12" x14ac:dyDescent="0.3">
      <c r="A220" s="17">
        <v>219</v>
      </c>
      <c r="B220" s="23" t="s">
        <v>75</v>
      </c>
      <c r="C220" s="10" t="s">
        <v>76</v>
      </c>
      <c r="D220" s="10" t="s">
        <v>344</v>
      </c>
      <c r="E220" s="9">
        <v>9876501219</v>
      </c>
      <c r="F220" s="11">
        <v>46206</v>
      </c>
      <c r="G220" s="12">
        <v>0.72321759259259255</v>
      </c>
      <c r="H220" s="12">
        <v>0.72743055555555558</v>
      </c>
      <c r="I220" s="12" t="str">
        <f>TEXT(tblAttendance[[#This Row],[Date]],"mmm")</f>
        <v>Jul</v>
      </c>
      <c r="J220" s="12" t="str">
        <f>TEXT(tblAttendance[[#This Row],[Date]],"yyyy")</f>
        <v>2026</v>
      </c>
      <c r="K220" s="12" t="str">
        <f>TEXT(tblAttendance[[#This Row],[Date]],"dddd")</f>
        <v>Friday</v>
      </c>
      <c r="L220" s="29" t="str">
        <f>_xlfn.XLOOKUP(tblAttendance[[#This Row],[Student_ID]],tblStudents[Student_ID],tblStudents[Address])</f>
        <v>Jalgaon, Maharashtra</v>
      </c>
    </row>
    <row r="221" spans="1:12" x14ac:dyDescent="0.3">
      <c r="A221" s="17">
        <v>220</v>
      </c>
      <c r="B221" s="23" t="s">
        <v>78</v>
      </c>
      <c r="C221" s="10" t="s">
        <v>79</v>
      </c>
      <c r="D221" s="10" t="s">
        <v>350</v>
      </c>
      <c r="E221" s="9">
        <v>9876501220</v>
      </c>
      <c r="F221" s="11">
        <v>46206</v>
      </c>
      <c r="G221" s="12">
        <v>0.72325231481481478</v>
      </c>
      <c r="H221" s="12">
        <v>0.72748842592592589</v>
      </c>
      <c r="I221" s="12" t="str">
        <f>TEXT(tblAttendance[[#This Row],[Date]],"mmm")</f>
        <v>Jul</v>
      </c>
      <c r="J221" s="12" t="str">
        <f>TEXT(tblAttendance[[#This Row],[Date]],"yyyy")</f>
        <v>2026</v>
      </c>
      <c r="K221" s="12" t="str">
        <f>TEXT(tblAttendance[[#This Row],[Date]],"dddd")</f>
        <v>Friday</v>
      </c>
      <c r="L221" s="29" t="str">
        <f>_xlfn.XLOOKUP(tblAttendance[[#This Row],[Student_ID]],tblStudents[Student_ID],tblStudents[Address])</f>
        <v>Amravati, Maharashtra</v>
      </c>
    </row>
    <row r="222" spans="1:12" x14ac:dyDescent="0.3">
      <c r="A222" s="17">
        <v>221</v>
      </c>
      <c r="B222" s="23" t="s">
        <v>81</v>
      </c>
      <c r="C222" s="10" t="s">
        <v>82</v>
      </c>
      <c r="D222" s="10" t="s">
        <v>344</v>
      </c>
      <c r="E222" s="9">
        <v>9876501221</v>
      </c>
      <c r="F222" s="11">
        <v>46206</v>
      </c>
      <c r="G222" s="12">
        <v>0.72328703703703701</v>
      </c>
      <c r="H222" s="12">
        <v>0.72753472222222226</v>
      </c>
      <c r="I222" s="12" t="str">
        <f>TEXT(tblAttendance[[#This Row],[Date]],"mmm")</f>
        <v>Jul</v>
      </c>
      <c r="J222" s="12" t="str">
        <f>TEXT(tblAttendance[[#This Row],[Date]],"yyyy")</f>
        <v>2026</v>
      </c>
      <c r="K222" s="12" t="str">
        <f>TEXT(tblAttendance[[#This Row],[Date]],"dddd")</f>
        <v>Friday</v>
      </c>
      <c r="L222" s="29" t="str">
        <f>_xlfn.XLOOKUP(tblAttendance[[#This Row],[Student_ID]],tblStudents[Student_ID],tblStudents[Address])</f>
        <v>Pune, Maharashtra</v>
      </c>
    </row>
    <row r="223" spans="1:12" x14ac:dyDescent="0.3">
      <c r="A223" s="17">
        <v>222</v>
      </c>
      <c r="B223" s="23" t="s">
        <v>83</v>
      </c>
      <c r="C223" s="10" t="s">
        <v>84</v>
      </c>
      <c r="D223" s="10" t="s">
        <v>344</v>
      </c>
      <c r="E223" s="9">
        <v>9876501222</v>
      </c>
      <c r="F223" s="11">
        <v>46206</v>
      </c>
      <c r="G223" s="12">
        <v>0.72333333333333338</v>
      </c>
      <c r="H223" s="12">
        <v>0.72770833333333329</v>
      </c>
      <c r="I223" s="12" t="str">
        <f>TEXT(tblAttendance[[#This Row],[Date]],"mmm")</f>
        <v>Jul</v>
      </c>
      <c r="J223" s="12" t="str">
        <f>TEXT(tblAttendance[[#This Row],[Date]],"yyyy")</f>
        <v>2026</v>
      </c>
      <c r="K223" s="12" t="str">
        <f>TEXT(tblAttendance[[#This Row],[Date]],"dddd")</f>
        <v>Friday</v>
      </c>
      <c r="L223" s="29" t="str">
        <f>_xlfn.XLOOKUP(tblAttendance[[#This Row],[Student_ID]],tblStudents[Student_ID],tblStudents[Address])</f>
        <v>Navi Mumbai, Maharashtra</v>
      </c>
    </row>
    <row r="224" spans="1:12" x14ac:dyDescent="0.3">
      <c r="A224" s="17">
        <v>223</v>
      </c>
      <c r="B224" s="23" t="s">
        <v>86</v>
      </c>
      <c r="C224" s="10" t="s">
        <v>87</v>
      </c>
      <c r="D224" s="10" t="s">
        <v>350</v>
      </c>
      <c r="E224" s="9">
        <v>9876501223</v>
      </c>
      <c r="F224" s="11">
        <v>46206</v>
      </c>
      <c r="G224" s="12">
        <v>0.72337962962962965</v>
      </c>
      <c r="H224" s="12">
        <v>0.72775462962962967</v>
      </c>
      <c r="I224" s="12" t="str">
        <f>TEXT(tblAttendance[[#This Row],[Date]],"mmm")</f>
        <v>Jul</v>
      </c>
      <c r="J224" s="12" t="str">
        <f>TEXT(tblAttendance[[#This Row],[Date]],"yyyy")</f>
        <v>2026</v>
      </c>
      <c r="K224" s="12" t="str">
        <f>TEXT(tblAttendance[[#This Row],[Date]],"dddd")</f>
        <v>Friday</v>
      </c>
      <c r="L224" s="29" t="str">
        <f>_xlfn.XLOOKUP(tblAttendance[[#This Row],[Student_ID]],tblStudents[Student_ID],tblStudents[Address])</f>
        <v>Parbhani, Maharashtra</v>
      </c>
    </row>
    <row r="225" spans="1:12" x14ac:dyDescent="0.3">
      <c r="A225" s="17">
        <v>224</v>
      </c>
      <c r="B225" s="23" t="s">
        <v>89</v>
      </c>
      <c r="C225" s="10" t="s">
        <v>90</v>
      </c>
      <c r="D225" s="10" t="s">
        <v>349</v>
      </c>
      <c r="E225" s="9">
        <v>9876501224</v>
      </c>
      <c r="F225" s="11">
        <v>46206</v>
      </c>
      <c r="G225" s="12">
        <v>0.72343749999999996</v>
      </c>
      <c r="H225" s="12">
        <v>0.72780092592592593</v>
      </c>
      <c r="I225" s="12" t="str">
        <f>TEXT(tblAttendance[[#This Row],[Date]],"mmm")</f>
        <v>Jul</v>
      </c>
      <c r="J225" s="12" t="str">
        <f>TEXT(tblAttendance[[#This Row],[Date]],"yyyy")</f>
        <v>2026</v>
      </c>
      <c r="K225" s="12" t="str">
        <f>TEXT(tblAttendance[[#This Row],[Date]],"dddd")</f>
        <v>Friday</v>
      </c>
      <c r="L225" s="29" t="str">
        <f>_xlfn.XLOOKUP(tblAttendance[[#This Row],[Student_ID]],tblStudents[Student_ID],tblStudents[Address])</f>
        <v>Nanded, Maharashtra</v>
      </c>
    </row>
    <row r="226" spans="1:12" x14ac:dyDescent="0.3">
      <c r="A226" s="17">
        <v>225</v>
      </c>
      <c r="B226" s="23" t="s">
        <v>92</v>
      </c>
      <c r="C226" s="10" t="s">
        <v>93</v>
      </c>
      <c r="D226" s="10" t="s">
        <v>349</v>
      </c>
      <c r="E226" s="9">
        <v>9876501225</v>
      </c>
      <c r="F226" s="11">
        <v>46206</v>
      </c>
      <c r="G226" s="12">
        <v>0.72346064814814814</v>
      </c>
      <c r="H226" s="12">
        <v>0.72793981481481485</v>
      </c>
      <c r="I226" s="12" t="str">
        <f>TEXT(tblAttendance[[#This Row],[Date]],"mmm")</f>
        <v>Jul</v>
      </c>
      <c r="J226" s="12" t="str">
        <f>TEXT(tblAttendance[[#This Row],[Date]],"yyyy")</f>
        <v>2026</v>
      </c>
      <c r="K226" s="12" t="str">
        <f>TEXT(tblAttendance[[#This Row],[Date]],"dddd")</f>
        <v>Friday</v>
      </c>
      <c r="L226" s="29" t="str">
        <f>_xlfn.XLOOKUP(tblAttendance[[#This Row],[Student_ID]],tblStudents[Student_ID],tblStudents[Address])</f>
        <v>Wardha, Maharashtra</v>
      </c>
    </row>
    <row r="227" spans="1:12" x14ac:dyDescent="0.3">
      <c r="A227" s="17">
        <v>226</v>
      </c>
      <c r="B227" s="23" t="s">
        <v>95</v>
      </c>
      <c r="C227" s="10" t="s">
        <v>96</v>
      </c>
      <c r="D227" s="10" t="s">
        <v>344</v>
      </c>
      <c r="E227" s="9">
        <v>9876501226</v>
      </c>
      <c r="F227" s="11">
        <v>46206</v>
      </c>
      <c r="G227" s="12">
        <v>0.72349537037037037</v>
      </c>
      <c r="H227" s="12">
        <v>0.72811342592592587</v>
      </c>
      <c r="I227" s="12" t="str">
        <f>TEXT(tblAttendance[[#This Row],[Date]],"mmm")</f>
        <v>Jul</v>
      </c>
      <c r="J227" s="12" t="str">
        <f>TEXT(tblAttendance[[#This Row],[Date]],"yyyy")</f>
        <v>2026</v>
      </c>
      <c r="K227" s="12" t="str">
        <f>TEXT(tblAttendance[[#This Row],[Date]],"dddd")</f>
        <v>Friday</v>
      </c>
      <c r="L227" s="29" t="str">
        <f>_xlfn.XLOOKUP(tblAttendance[[#This Row],[Student_ID]],tblStudents[Student_ID],tblStudents[Address])</f>
        <v>Chandrapur, Maharashtra</v>
      </c>
    </row>
    <row r="228" spans="1:12" x14ac:dyDescent="0.3">
      <c r="A228" s="17">
        <v>227</v>
      </c>
      <c r="B228" s="23" t="s">
        <v>98</v>
      </c>
      <c r="C228" s="10" t="s">
        <v>99</v>
      </c>
      <c r="D228" s="10" t="s">
        <v>340</v>
      </c>
      <c r="E228" s="9">
        <v>9876501227</v>
      </c>
      <c r="F228" s="11">
        <v>46206</v>
      </c>
      <c r="G228" s="12">
        <v>0.72354166666666664</v>
      </c>
      <c r="H228" s="12">
        <v>0.72821759259259256</v>
      </c>
      <c r="I228" s="12" t="str">
        <f>TEXT(tblAttendance[[#This Row],[Date]],"mmm")</f>
        <v>Jul</v>
      </c>
      <c r="J228" s="12" t="str">
        <f>TEXT(tblAttendance[[#This Row],[Date]],"yyyy")</f>
        <v>2026</v>
      </c>
      <c r="K228" s="12" t="str">
        <f>TEXT(tblAttendance[[#This Row],[Date]],"dddd")</f>
        <v>Friday</v>
      </c>
      <c r="L228" s="29" t="str">
        <f>_xlfn.XLOOKUP(tblAttendance[[#This Row],[Student_ID]],tblStudents[Student_ID],tblStudents[Address])</f>
        <v>Ratnagiri, Maharashtra</v>
      </c>
    </row>
    <row r="229" spans="1:12" x14ac:dyDescent="0.3">
      <c r="A229" s="17">
        <v>228</v>
      </c>
      <c r="B229" s="23" t="s">
        <v>101</v>
      </c>
      <c r="C229" s="10" t="s">
        <v>102</v>
      </c>
      <c r="D229" s="10" t="s">
        <v>343</v>
      </c>
      <c r="E229" s="9">
        <v>9876501228</v>
      </c>
      <c r="F229" s="11">
        <v>46206</v>
      </c>
      <c r="G229" s="12">
        <v>0.72357638888888887</v>
      </c>
      <c r="H229" s="12">
        <v>0.72826388888888893</v>
      </c>
      <c r="I229" s="12" t="str">
        <f>TEXT(tblAttendance[[#This Row],[Date]],"mmm")</f>
        <v>Jul</v>
      </c>
      <c r="J229" s="12" t="str">
        <f>TEXT(tblAttendance[[#This Row],[Date]],"yyyy")</f>
        <v>2026</v>
      </c>
      <c r="K229" s="12" t="str">
        <f>TEXT(tblAttendance[[#This Row],[Date]],"dddd")</f>
        <v>Friday</v>
      </c>
      <c r="L229" s="29" t="str">
        <f>_xlfn.XLOOKUP(tblAttendance[[#This Row],[Student_ID]],tblStudents[Student_ID],tblStudents[Address])</f>
        <v>Sindhudurg, Maharashtra</v>
      </c>
    </row>
    <row r="230" spans="1:12" x14ac:dyDescent="0.3">
      <c r="A230" s="17">
        <v>229</v>
      </c>
      <c r="B230" s="23" t="s">
        <v>104</v>
      </c>
      <c r="C230" s="10" t="s">
        <v>105</v>
      </c>
      <c r="D230" s="10" t="s">
        <v>344</v>
      </c>
      <c r="E230" s="9">
        <v>9876501229</v>
      </c>
      <c r="F230" s="11">
        <v>46206</v>
      </c>
      <c r="G230" s="12">
        <v>0.72361111111111109</v>
      </c>
      <c r="H230" s="12">
        <v>0.72829861111111116</v>
      </c>
      <c r="I230" s="12" t="str">
        <f>TEXT(tblAttendance[[#This Row],[Date]],"mmm")</f>
        <v>Jul</v>
      </c>
      <c r="J230" s="12" t="str">
        <f>TEXT(tblAttendance[[#This Row],[Date]],"yyyy")</f>
        <v>2026</v>
      </c>
      <c r="K230" s="12" t="str">
        <f>TEXT(tblAttendance[[#This Row],[Date]],"dddd")</f>
        <v>Friday</v>
      </c>
      <c r="L230" s="29" t="str">
        <f>_xlfn.XLOOKUP(tblAttendance[[#This Row],[Student_ID]],tblStudents[Student_ID],tblStudents[Address])</f>
        <v>Hingoli, Maharashtra</v>
      </c>
    </row>
    <row r="231" spans="1:12" x14ac:dyDescent="0.3">
      <c r="A231" s="17">
        <v>230</v>
      </c>
      <c r="B231" s="23" t="s">
        <v>107</v>
      </c>
      <c r="C231" s="10" t="s">
        <v>108</v>
      </c>
      <c r="D231" s="10" t="s">
        <v>344</v>
      </c>
      <c r="E231" s="9">
        <v>9876501230</v>
      </c>
      <c r="F231" s="11">
        <v>46206</v>
      </c>
      <c r="G231" s="12">
        <v>0.72364583333333332</v>
      </c>
      <c r="H231" s="12">
        <v>0.72834490740740743</v>
      </c>
      <c r="I231" s="12" t="str">
        <f>TEXT(tblAttendance[[#This Row],[Date]],"mmm")</f>
        <v>Jul</v>
      </c>
      <c r="J231" s="12" t="str">
        <f>TEXT(tblAttendance[[#This Row],[Date]],"yyyy")</f>
        <v>2026</v>
      </c>
      <c r="K231" s="12" t="str">
        <f>TEXT(tblAttendance[[#This Row],[Date]],"dddd")</f>
        <v>Friday</v>
      </c>
      <c r="L231" s="29" t="str">
        <f>_xlfn.XLOOKUP(tblAttendance[[#This Row],[Student_ID]],tblStudents[Student_ID],tblStudents[Address])</f>
        <v>Washim, Maharashtra</v>
      </c>
    </row>
    <row r="232" spans="1:12" x14ac:dyDescent="0.3">
      <c r="A232" s="17">
        <v>231</v>
      </c>
      <c r="B232" s="23" t="s">
        <v>110</v>
      </c>
      <c r="C232" s="10" t="s">
        <v>111</v>
      </c>
      <c r="D232" s="10" t="s">
        <v>346</v>
      </c>
      <c r="E232" s="9">
        <v>9876501231</v>
      </c>
      <c r="F232" s="11">
        <v>46206</v>
      </c>
      <c r="G232" s="12">
        <v>0.72368055555555555</v>
      </c>
      <c r="H232" s="12">
        <v>0.72839120370370369</v>
      </c>
      <c r="I232" s="12" t="str">
        <f>TEXT(tblAttendance[[#This Row],[Date]],"mmm")</f>
        <v>Jul</v>
      </c>
      <c r="J232" s="12" t="str">
        <f>TEXT(tblAttendance[[#This Row],[Date]],"yyyy")</f>
        <v>2026</v>
      </c>
      <c r="K232" s="12" t="str">
        <f>TEXT(tblAttendance[[#This Row],[Date]],"dddd")</f>
        <v>Friday</v>
      </c>
      <c r="L232" s="29" t="str">
        <f>_xlfn.XLOOKUP(tblAttendance[[#This Row],[Student_ID]],tblStudents[Student_ID],tblStudents[Address])</f>
        <v>Buldhana, Maharashtra</v>
      </c>
    </row>
    <row r="233" spans="1:12" x14ac:dyDescent="0.3">
      <c r="A233" s="17">
        <v>232</v>
      </c>
      <c r="B233" s="23" t="s">
        <v>113</v>
      </c>
      <c r="C233" s="10" t="s">
        <v>114</v>
      </c>
      <c r="D233" s="10" t="s">
        <v>347</v>
      </c>
      <c r="E233" s="9">
        <v>9876501232</v>
      </c>
      <c r="F233" s="11">
        <v>46206</v>
      </c>
      <c r="G233" s="12">
        <v>0.72372685185185182</v>
      </c>
      <c r="H233" s="12">
        <v>0.72843749999999996</v>
      </c>
      <c r="I233" s="12" t="str">
        <f>TEXT(tblAttendance[[#This Row],[Date]],"mmm")</f>
        <v>Jul</v>
      </c>
      <c r="J233" s="12" t="str">
        <f>TEXT(tblAttendance[[#This Row],[Date]],"yyyy")</f>
        <v>2026</v>
      </c>
      <c r="K233" s="12" t="str">
        <f>TEXT(tblAttendance[[#This Row],[Date]],"dddd")</f>
        <v>Friday</v>
      </c>
      <c r="L233" s="29" t="str">
        <f>_xlfn.XLOOKUP(tblAttendance[[#This Row],[Student_ID]],tblStudents[Student_ID],tblStudents[Address])</f>
        <v xml:space="preserve">Yavatmal, Maharashtra </v>
      </c>
    </row>
    <row r="234" spans="1:12" x14ac:dyDescent="0.3">
      <c r="A234" s="17">
        <v>233</v>
      </c>
      <c r="B234" s="23" t="s">
        <v>116</v>
      </c>
      <c r="C234" s="10" t="s">
        <v>117</v>
      </c>
      <c r="D234" s="10" t="s">
        <v>349</v>
      </c>
      <c r="E234" s="9">
        <v>9876501233</v>
      </c>
      <c r="F234" s="11">
        <v>46206</v>
      </c>
      <c r="G234" s="12">
        <v>0.72376157407407404</v>
      </c>
      <c r="H234" s="12">
        <v>0.72849537037037038</v>
      </c>
      <c r="I234" s="12" t="str">
        <f>TEXT(tblAttendance[[#This Row],[Date]],"mmm")</f>
        <v>Jul</v>
      </c>
      <c r="J234" s="12" t="str">
        <f>TEXT(tblAttendance[[#This Row],[Date]],"yyyy")</f>
        <v>2026</v>
      </c>
      <c r="K234" s="12" t="str">
        <f>TEXT(tblAttendance[[#This Row],[Date]],"dddd")</f>
        <v>Friday</v>
      </c>
      <c r="L234" s="29" t="str">
        <f>_xlfn.XLOOKUP(tblAttendance[[#This Row],[Student_ID]],tblStudents[Student_ID],tblStudents[Address])</f>
        <v>Gondia, Maharashtra</v>
      </c>
    </row>
    <row r="235" spans="1:12" x14ac:dyDescent="0.3">
      <c r="A235" s="17">
        <v>234</v>
      </c>
      <c r="B235" s="23" t="s">
        <v>119</v>
      </c>
      <c r="C235" s="10" t="s">
        <v>120</v>
      </c>
      <c r="D235" s="10" t="s">
        <v>342</v>
      </c>
      <c r="E235" s="9">
        <v>9876501234</v>
      </c>
      <c r="F235" s="11">
        <v>46206</v>
      </c>
      <c r="G235" s="12">
        <v>0.72379629629629627</v>
      </c>
      <c r="H235" s="12">
        <v>0.72854166666666664</v>
      </c>
      <c r="I235" s="12" t="str">
        <f>TEXT(tblAttendance[[#This Row],[Date]],"mmm")</f>
        <v>Jul</v>
      </c>
      <c r="J235" s="12" t="str">
        <f>TEXT(tblAttendance[[#This Row],[Date]],"yyyy")</f>
        <v>2026</v>
      </c>
      <c r="K235" s="12" t="str">
        <f>TEXT(tblAttendance[[#This Row],[Date]],"dddd")</f>
        <v>Friday</v>
      </c>
      <c r="L235" s="29" t="str">
        <f>_xlfn.XLOOKUP(tblAttendance[[#This Row],[Student_ID]],tblStudents[Student_ID],tblStudents[Address])</f>
        <v>Gadchiroli, Maharashtra</v>
      </c>
    </row>
    <row r="236" spans="1:12" x14ac:dyDescent="0.3">
      <c r="A236" s="17">
        <v>235</v>
      </c>
      <c r="B236" s="23" t="s">
        <v>122</v>
      </c>
      <c r="C236" s="10" t="s">
        <v>123</v>
      </c>
      <c r="D236" s="10" t="s">
        <v>340</v>
      </c>
      <c r="E236" s="9">
        <v>9876501235</v>
      </c>
      <c r="F236" s="11">
        <v>46206</v>
      </c>
      <c r="G236" s="12">
        <v>0.7238310185185185</v>
      </c>
      <c r="I236" s="12" t="str">
        <f>TEXT(tblAttendance[[#This Row],[Date]],"mmm")</f>
        <v>Jul</v>
      </c>
      <c r="J236" s="12" t="str">
        <f>TEXT(tblAttendance[[#This Row],[Date]],"yyyy")</f>
        <v>2026</v>
      </c>
      <c r="K236" s="12" t="str">
        <f>TEXT(tblAttendance[[#This Row],[Date]],"dddd")</f>
        <v>Friday</v>
      </c>
      <c r="L236" s="29" t="str">
        <f>_xlfn.XLOOKUP(tblAttendance[[#This Row],[Student_ID]],tblStudents[Student_ID],tblStudents[Address])</f>
        <v>Dhule, Maharashtra</v>
      </c>
    </row>
    <row r="237" spans="1:12" x14ac:dyDescent="0.3">
      <c r="A237" s="17">
        <v>236</v>
      </c>
      <c r="B237" s="23" t="s">
        <v>125</v>
      </c>
      <c r="C237" s="10" t="s">
        <v>126</v>
      </c>
      <c r="D237" s="10" t="s">
        <v>347</v>
      </c>
      <c r="E237" s="9">
        <v>9876501236</v>
      </c>
      <c r="F237" s="11">
        <v>46206</v>
      </c>
      <c r="G237" s="12">
        <v>0.72386574074074073</v>
      </c>
      <c r="I237" s="12" t="str">
        <f>TEXT(tblAttendance[[#This Row],[Date]],"mmm")</f>
        <v>Jul</v>
      </c>
      <c r="J237" s="12" t="str">
        <f>TEXT(tblAttendance[[#This Row],[Date]],"yyyy")</f>
        <v>2026</v>
      </c>
      <c r="K237" s="12" t="str">
        <f>TEXT(tblAttendance[[#This Row],[Date]],"dddd")</f>
        <v>Friday</v>
      </c>
      <c r="L237" s="29" t="str">
        <f>_xlfn.XLOOKUP(tblAttendance[[#This Row],[Student_ID]],tblStudents[Student_ID],tblStudents[Address])</f>
        <v>Pune, Maharashtra</v>
      </c>
    </row>
    <row r="238" spans="1:12" x14ac:dyDescent="0.3">
      <c r="A238" s="17">
        <v>237</v>
      </c>
      <c r="B238" s="23" t="s">
        <v>127</v>
      </c>
      <c r="C238" s="10" t="s">
        <v>128</v>
      </c>
      <c r="D238" s="10" t="s">
        <v>342</v>
      </c>
      <c r="E238" s="9">
        <v>9876501237</v>
      </c>
      <c r="F238" s="11">
        <v>46206</v>
      </c>
      <c r="G238" s="12">
        <v>0.72390046296296295</v>
      </c>
      <c r="I238" s="12" t="str">
        <f>TEXT(tblAttendance[[#This Row],[Date]],"mmm")</f>
        <v>Jul</v>
      </c>
      <c r="J238" s="12" t="str">
        <f>TEXT(tblAttendance[[#This Row],[Date]],"yyyy")</f>
        <v>2026</v>
      </c>
      <c r="K238" s="12" t="str">
        <f>TEXT(tblAttendance[[#This Row],[Date]],"dddd")</f>
        <v>Friday</v>
      </c>
      <c r="L238" s="29" t="str">
        <f>_xlfn.XLOOKUP(tblAttendance[[#This Row],[Student_ID]],tblStudents[Student_ID],tblStudents[Address])</f>
        <v>Pune, Maharashtra</v>
      </c>
    </row>
    <row r="239" spans="1:12" x14ac:dyDescent="0.3">
      <c r="A239" s="17">
        <v>238</v>
      </c>
      <c r="B239" s="23" t="s">
        <v>129</v>
      </c>
      <c r="C239" s="10" t="s">
        <v>130</v>
      </c>
      <c r="D239" s="10" t="s">
        <v>343</v>
      </c>
      <c r="E239" s="9">
        <v>9876501238</v>
      </c>
      <c r="F239" s="11">
        <v>46206</v>
      </c>
      <c r="G239" s="12">
        <v>0.72393518518518518</v>
      </c>
      <c r="I239" s="12" t="str">
        <f>TEXT(tblAttendance[[#This Row],[Date]],"mmm")</f>
        <v>Jul</v>
      </c>
      <c r="J239" s="12" t="str">
        <f>TEXT(tblAttendance[[#This Row],[Date]],"yyyy")</f>
        <v>2026</v>
      </c>
      <c r="K239" s="12" t="str">
        <f>TEXT(tblAttendance[[#This Row],[Date]],"dddd")</f>
        <v>Friday</v>
      </c>
      <c r="L239" s="29" t="str">
        <f>_xlfn.XLOOKUP(tblAttendance[[#This Row],[Student_ID]],tblStudents[Student_ID],tblStudents[Address])</f>
        <v>Ahilya Nagar, Maharashtra, Maharashtra</v>
      </c>
    </row>
    <row r="240" spans="1:12" x14ac:dyDescent="0.3">
      <c r="A240" s="17">
        <v>239</v>
      </c>
      <c r="B240" s="23" t="s">
        <v>132</v>
      </c>
      <c r="C240" s="10" t="s">
        <v>133</v>
      </c>
      <c r="D240" s="10" t="s">
        <v>344</v>
      </c>
      <c r="E240" s="9">
        <v>9876501239</v>
      </c>
      <c r="F240" s="11">
        <v>46206</v>
      </c>
      <c r="G240" s="12">
        <v>0.72398148148148145</v>
      </c>
      <c r="I240" s="12" t="str">
        <f>TEXT(tblAttendance[[#This Row],[Date]],"mmm")</f>
        <v>Jul</v>
      </c>
      <c r="J240" s="12" t="str">
        <f>TEXT(tblAttendance[[#This Row],[Date]],"yyyy")</f>
        <v>2026</v>
      </c>
      <c r="K240" s="12" t="str">
        <f>TEXT(tblAttendance[[#This Row],[Date]],"dddd")</f>
        <v>Friday</v>
      </c>
      <c r="L240" s="29" t="str">
        <f>_xlfn.XLOOKUP(tblAttendance[[#This Row],[Student_ID]],tblStudents[Student_ID],tblStudents[Address])</f>
        <v>Chhatrapati Sambhajinagar, Maharashtra</v>
      </c>
    </row>
    <row r="241" spans="1:12" x14ac:dyDescent="0.3">
      <c r="A241" s="17">
        <v>240</v>
      </c>
      <c r="B241" s="23" t="s">
        <v>134</v>
      </c>
      <c r="C241" s="10" t="s">
        <v>135</v>
      </c>
      <c r="D241" s="10" t="s">
        <v>340</v>
      </c>
      <c r="E241" s="9">
        <v>9876501240</v>
      </c>
      <c r="F241" s="11">
        <v>46206</v>
      </c>
      <c r="G241" s="12">
        <v>0.72401620370370368</v>
      </c>
      <c r="I241" s="12" t="str">
        <f>TEXT(tblAttendance[[#This Row],[Date]],"mmm")</f>
        <v>Jul</v>
      </c>
      <c r="J241" s="12" t="str">
        <f>TEXT(tblAttendance[[#This Row],[Date]],"yyyy")</f>
        <v>2026</v>
      </c>
      <c r="K241" s="12" t="str">
        <f>TEXT(tblAttendance[[#This Row],[Date]],"dddd")</f>
        <v>Friday</v>
      </c>
      <c r="L241" s="29" t="str">
        <f>_xlfn.XLOOKUP(tblAttendance[[#This Row],[Student_ID]],tblStudents[Student_ID],tblStudents[Address])</f>
        <v>Pune, Maharashtra</v>
      </c>
    </row>
    <row r="242" spans="1:12" x14ac:dyDescent="0.3">
      <c r="A242" s="17">
        <v>241</v>
      </c>
      <c r="B242" s="23" t="s">
        <v>136</v>
      </c>
      <c r="C242" s="10" t="s">
        <v>137</v>
      </c>
      <c r="D242" s="10" t="s">
        <v>342</v>
      </c>
      <c r="E242" s="9">
        <v>9876501241</v>
      </c>
      <c r="F242" s="11">
        <v>46206</v>
      </c>
      <c r="G242" s="12">
        <v>0.72406250000000005</v>
      </c>
      <c r="I242" s="12" t="str">
        <f>TEXT(tblAttendance[[#This Row],[Date]],"mmm")</f>
        <v>Jul</v>
      </c>
      <c r="J242" s="12" t="str">
        <f>TEXT(tblAttendance[[#This Row],[Date]],"yyyy")</f>
        <v>2026</v>
      </c>
      <c r="K242" s="12" t="str">
        <f>TEXT(tblAttendance[[#This Row],[Date]],"dddd")</f>
        <v>Friday</v>
      </c>
      <c r="L242" s="29" t="str">
        <f>_xlfn.XLOOKUP(tblAttendance[[#This Row],[Student_ID]],tblStudents[Student_ID],tblStudents[Address])</f>
        <v>Pune, Maharashtra</v>
      </c>
    </row>
    <row r="243" spans="1:12" x14ac:dyDescent="0.3">
      <c r="A243" s="17">
        <v>242</v>
      </c>
      <c r="B243" s="23" t="s">
        <v>138</v>
      </c>
      <c r="C243" s="10" t="s">
        <v>139</v>
      </c>
      <c r="D243" s="10" t="s">
        <v>343</v>
      </c>
      <c r="E243" s="9">
        <v>9876501242</v>
      </c>
      <c r="F243" s="11">
        <v>46206</v>
      </c>
      <c r="G243" s="12">
        <v>0.72409722222222217</v>
      </c>
      <c r="I243" s="12" t="str">
        <f>TEXT(tblAttendance[[#This Row],[Date]],"mmm")</f>
        <v>Jul</v>
      </c>
      <c r="J243" s="12" t="str">
        <f>TEXT(tblAttendance[[#This Row],[Date]],"yyyy")</f>
        <v>2026</v>
      </c>
      <c r="K243" s="12" t="str">
        <f>TEXT(tblAttendance[[#This Row],[Date]],"dddd")</f>
        <v>Friday</v>
      </c>
      <c r="L243" s="29" t="str">
        <f>_xlfn.XLOOKUP(tblAttendance[[#This Row],[Student_ID]],tblStudents[Student_ID],tblStudents[Address])</f>
        <v>Ahilya Nagar, Maharashtra, Maharashtra</v>
      </c>
    </row>
    <row r="244" spans="1:12" x14ac:dyDescent="0.3">
      <c r="A244" s="17">
        <v>243</v>
      </c>
      <c r="B244" s="23" t="s">
        <v>140</v>
      </c>
      <c r="C244" s="10" t="s">
        <v>141</v>
      </c>
      <c r="D244" s="10" t="s">
        <v>348</v>
      </c>
      <c r="E244" s="9">
        <v>9876501243</v>
      </c>
      <c r="F244" s="11">
        <v>46206</v>
      </c>
      <c r="G244" s="12">
        <v>0.72415509259259259</v>
      </c>
      <c r="I244" s="12" t="str">
        <f>TEXT(tblAttendance[[#This Row],[Date]],"mmm")</f>
        <v>Jul</v>
      </c>
      <c r="J244" s="12" t="str">
        <f>TEXT(tblAttendance[[#This Row],[Date]],"yyyy")</f>
        <v>2026</v>
      </c>
      <c r="K244" s="12" t="str">
        <f>TEXT(tblAttendance[[#This Row],[Date]],"dddd")</f>
        <v>Friday</v>
      </c>
      <c r="L244" s="29" t="str">
        <f>_xlfn.XLOOKUP(tblAttendance[[#This Row],[Student_ID]],tblStudents[Student_ID],tblStudents[Address])</f>
        <v>Chhatrapati Sambhajinagar, Maharashtra</v>
      </c>
    </row>
    <row r="245" spans="1:12" x14ac:dyDescent="0.3">
      <c r="A245" s="17">
        <v>244</v>
      </c>
      <c r="B245" s="23" t="s">
        <v>142</v>
      </c>
      <c r="C245" s="10" t="s">
        <v>143</v>
      </c>
      <c r="D245" s="10" t="s">
        <v>347</v>
      </c>
      <c r="E245" s="9">
        <v>9876501244</v>
      </c>
      <c r="F245" s="11">
        <v>46206</v>
      </c>
      <c r="G245" s="12">
        <v>0.72417824074074078</v>
      </c>
      <c r="I245" s="12" t="str">
        <f>TEXT(tblAttendance[[#This Row],[Date]],"mmm")</f>
        <v>Jul</v>
      </c>
      <c r="J245" s="12" t="str">
        <f>TEXT(tblAttendance[[#This Row],[Date]],"yyyy")</f>
        <v>2026</v>
      </c>
      <c r="K245" s="12" t="str">
        <f>TEXT(tblAttendance[[#This Row],[Date]],"dddd")</f>
        <v>Friday</v>
      </c>
      <c r="L245" s="29" t="str">
        <f>_xlfn.XLOOKUP(tblAttendance[[#This Row],[Student_ID]],tblStudents[Student_ID],tblStudents[Address])</f>
        <v>Pune, Maharashtra</v>
      </c>
    </row>
    <row r="246" spans="1:12" x14ac:dyDescent="0.3">
      <c r="A246" s="17">
        <v>245</v>
      </c>
      <c r="B246" s="23" t="s">
        <v>144</v>
      </c>
      <c r="C246" s="10" t="s">
        <v>145</v>
      </c>
      <c r="D246" s="10" t="s">
        <v>343</v>
      </c>
      <c r="E246" s="9">
        <v>9876501245</v>
      </c>
      <c r="F246" s="11">
        <v>46206</v>
      </c>
      <c r="G246" s="12">
        <v>0.72423611111111108</v>
      </c>
      <c r="I246" s="12" t="str">
        <f>TEXT(tblAttendance[[#This Row],[Date]],"mmm")</f>
        <v>Jul</v>
      </c>
      <c r="J246" s="12" t="str">
        <f>TEXT(tblAttendance[[#This Row],[Date]],"yyyy")</f>
        <v>2026</v>
      </c>
      <c r="K246" s="12" t="str">
        <f>TEXT(tblAttendance[[#This Row],[Date]],"dddd")</f>
        <v>Friday</v>
      </c>
      <c r="L246" s="29" t="str">
        <f>_xlfn.XLOOKUP(tblAttendance[[#This Row],[Student_ID]],tblStudents[Student_ID],tblStudents[Address])</f>
        <v>Pune, Maharashtra</v>
      </c>
    </row>
    <row r="247" spans="1:12" x14ac:dyDescent="0.3">
      <c r="A247" s="17">
        <v>246</v>
      </c>
      <c r="B247" s="23" t="s">
        <v>146</v>
      </c>
      <c r="C247" s="10" t="s">
        <v>147</v>
      </c>
      <c r="D247" s="10" t="s">
        <v>344</v>
      </c>
      <c r="E247" s="9">
        <v>9876501246</v>
      </c>
      <c r="F247" s="11">
        <v>46206</v>
      </c>
      <c r="G247" s="12">
        <v>0.72427083333333331</v>
      </c>
      <c r="I247" s="12" t="str">
        <f>TEXT(tblAttendance[[#This Row],[Date]],"mmm")</f>
        <v>Jul</v>
      </c>
      <c r="J247" s="12" t="str">
        <f>TEXT(tblAttendance[[#This Row],[Date]],"yyyy")</f>
        <v>2026</v>
      </c>
      <c r="K247" s="12" t="str">
        <f>TEXT(tblAttendance[[#This Row],[Date]],"dddd")</f>
        <v>Friday</v>
      </c>
      <c r="L247" s="29" t="str">
        <f>_xlfn.XLOOKUP(tblAttendance[[#This Row],[Student_ID]],tblStudents[Student_ID],tblStudents[Address])</f>
        <v>Ahilya Nagar, Maharashtra, Maharashtra</v>
      </c>
    </row>
    <row r="248" spans="1:12" x14ac:dyDescent="0.3">
      <c r="A248" s="17">
        <v>247</v>
      </c>
      <c r="B248" s="23" t="s">
        <v>148</v>
      </c>
      <c r="C248" s="10" t="s">
        <v>149</v>
      </c>
      <c r="D248" s="10" t="s">
        <v>347</v>
      </c>
      <c r="E248" s="9">
        <v>9876501247</v>
      </c>
      <c r="F248" s="11">
        <v>46206</v>
      </c>
      <c r="G248" s="12">
        <v>0.72430555555555554</v>
      </c>
      <c r="I248" s="12" t="str">
        <f>TEXT(tblAttendance[[#This Row],[Date]],"mmm")</f>
        <v>Jul</v>
      </c>
      <c r="J248" s="12" t="str">
        <f>TEXT(tblAttendance[[#This Row],[Date]],"yyyy")</f>
        <v>2026</v>
      </c>
      <c r="K248" s="12" t="str">
        <f>TEXT(tblAttendance[[#This Row],[Date]],"dddd")</f>
        <v>Friday</v>
      </c>
      <c r="L248" s="29" t="str">
        <f>_xlfn.XLOOKUP(tblAttendance[[#This Row],[Student_ID]],tblStudents[Student_ID],tblStudents[Address])</f>
        <v>Chhatrapati Sambhajinagar, Maharashtra</v>
      </c>
    </row>
    <row r="249" spans="1:12" x14ac:dyDescent="0.3">
      <c r="A249" s="17">
        <v>248</v>
      </c>
      <c r="B249" s="23" t="s">
        <v>150</v>
      </c>
      <c r="C249" s="10" t="s">
        <v>151</v>
      </c>
      <c r="D249" s="10" t="s">
        <v>343</v>
      </c>
      <c r="E249" s="9">
        <v>9876501248</v>
      </c>
      <c r="F249" s="11">
        <v>46206</v>
      </c>
      <c r="G249" s="12">
        <v>0.7243518518518518</v>
      </c>
      <c r="I249" s="12" t="str">
        <f>TEXT(tblAttendance[[#This Row],[Date]],"mmm")</f>
        <v>Jul</v>
      </c>
      <c r="J249" s="12" t="str">
        <f>TEXT(tblAttendance[[#This Row],[Date]],"yyyy")</f>
        <v>2026</v>
      </c>
      <c r="K249" s="12" t="str">
        <f>TEXT(tblAttendance[[#This Row],[Date]],"dddd")</f>
        <v>Friday</v>
      </c>
      <c r="L249" s="29" t="str">
        <f>_xlfn.XLOOKUP(tblAttendance[[#This Row],[Student_ID]],tblStudents[Student_ID],tblStudents[Address])</f>
        <v>Pune, Maharashtra</v>
      </c>
    </row>
    <row r="250" spans="1:12" x14ac:dyDescent="0.3">
      <c r="A250" s="17">
        <v>249</v>
      </c>
      <c r="B250" s="23" t="s">
        <v>152</v>
      </c>
      <c r="C250" s="10" t="s">
        <v>153</v>
      </c>
      <c r="D250" s="10" t="s">
        <v>341</v>
      </c>
      <c r="E250" s="9">
        <v>9876501249</v>
      </c>
      <c r="F250" s="11">
        <v>46206</v>
      </c>
      <c r="G250" s="12">
        <v>0.72437499999999999</v>
      </c>
      <c r="I250" s="12" t="str">
        <f>TEXT(tblAttendance[[#This Row],[Date]],"mmm")</f>
        <v>Jul</v>
      </c>
      <c r="J250" s="12" t="str">
        <f>TEXT(tblAttendance[[#This Row],[Date]],"yyyy")</f>
        <v>2026</v>
      </c>
      <c r="K250" s="12" t="str">
        <f>TEXT(tblAttendance[[#This Row],[Date]],"dddd")</f>
        <v>Friday</v>
      </c>
      <c r="L250" s="29" t="str">
        <f>_xlfn.XLOOKUP(tblAttendance[[#This Row],[Student_ID]],tblStudents[Student_ID],tblStudents[Address])</f>
        <v>Pune, Maharashtra</v>
      </c>
    </row>
    <row r="251" spans="1:12" x14ac:dyDescent="0.3">
      <c r="A251" s="17">
        <v>250</v>
      </c>
      <c r="B251" s="23" t="s">
        <v>154</v>
      </c>
      <c r="C251" s="10" t="s">
        <v>155</v>
      </c>
      <c r="D251" s="10" t="s">
        <v>340</v>
      </c>
      <c r="E251" s="9">
        <v>9876501250</v>
      </c>
      <c r="F251" s="11">
        <v>46206</v>
      </c>
      <c r="G251" s="12">
        <v>0.72442129629629626</v>
      </c>
      <c r="I251" s="12" t="str">
        <f>TEXT(tblAttendance[[#This Row],[Date]],"mmm")</f>
        <v>Jul</v>
      </c>
      <c r="J251" s="12" t="str">
        <f>TEXT(tblAttendance[[#This Row],[Date]],"yyyy")</f>
        <v>2026</v>
      </c>
      <c r="K251" s="12" t="str">
        <f>TEXT(tblAttendance[[#This Row],[Date]],"dddd")</f>
        <v>Friday</v>
      </c>
      <c r="L251" s="29" t="str">
        <f>_xlfn.XLOOKUP(tblAttendance[[#This Row],[Student_ID]],tblStudents[Student_ID],tblStudents[Address])</f>
        <v>Ahilya Nagar, Maharashtra, Maharashtra</v>
      </c>
    </row>
    <row r="252" spans="1:12" x14ac:dyDescent="0.3">
      <c r="A252" s="17">
        <v>251</v>
      </c>
      <c r="B252" s="23" t="s">
        <v>156</v>
      </c>
      <c r="C252" s="10" t="s">
        <v>157</v>
      </c>
      <c r="D252" s="10" t="s">
        <v>340</v>
      </c>
      <c r="E252" s="9">
        <v>9876501251</v>
      </c>
      <c r="F252" s="11">
        <v>46206</v>
      </c>
      <c r="G252" s="12">
        <v>0.72446759259259264</v>
      </c>
      <c r="I252" s="12" t="str">
        <f>TEXT(tblAttendance[[#This Row],[Date]],"mmm")</f>
        <v>Jul</v>
      </c>
      <c r="J252" s="12" t="str">
        <f>TEXT(tblAttendance[[#This Row],[Date]],"yyyy")</f>
        <v>2026</v>
      </c>
      <c r="K252" s="12" t="str">
        <f>TEXT(tblAttendance[[#This Row],[Date]],"dddd")</f>
        <v>Friday</v>
      </c>
      <c r="L252" s="29" t="str">
        <f>_xlfn.XLOOKUP(tblAttendance[[#This Row],[Student_ID]],tblStudents[Student_ID],tblStudents[Address])</f>
        <v>Chhatrapati Sambhajinagar, Maharashtra</v>
      </c>
    </row>
    <row r="253" spans="1:12" x14ac:dyDescent="0.3">
      <c r="A253" s="17">
        <v>252</v>
      </c>
      <c r="B253" s="23" t="s">
        <v>158</v>
      </c>
      <c r="C253" s="10" t="s">
        <v>159</v>
      </c>
      <c r="D253" s="10" t="s">
        <v>341</v>
      </c>
      <c r="E253" s="9">
        <v>9876501252</v>
      </c>
      <c r="F253" s="11">
        <v>46206</v>
      </c>
      <c r="G253" s="12">
        <v>0.7245138888888889</v>
      </c>
      <c r="I253" s="12" t="str">
        <f>TEXT(tblAttendance[[#This Row],[Date]],"mmm")</f>
        <v>Jul</v>
      </c>
      <c r="J253" s="12" t="str">
        <f>TEXT(tblAttendance[[#This Row],[Date]],"yyyy")</f>
        <v>2026</v>
      </c>
      <c r="K253" s="12" t="str">
        <f>TEXT(tblAttendance[[#This Row],[Date]],"dddd")</f>
        <v>Friday</v>
      </c>
      <c r="L253" s="29" t="str">
        <f>_xlfn.XLOOKUP(tblAttendance[[#This Row],[Student_ID]],tblStudents[Student_ID],tblStudents[Address])</f>
        <v>Pune, Maharashtra</v>
      </c>
    </row>
    <row r="254" spans="1:12" x14ac:dyDescent="0.3">
      <c r="A254" s="17">
        <v>253</v>
      </c>
      <c r="B254" s="23" t="s">
        <v>160</v>
      </c>
      <c r="C254" s="10" t="s">
        <v>161</v>
      </c>
      <c r="D254" s="10" t="s">
        <v>347</v>
      </c>
      <c r="E254" s="9">
        <v>9876501253</v>
      </c>
      <c r="F254" s="11">
        <v>46206</v>
      </c>
      <c r="G254" s="12">
        <v>0.72456018518518517</v>
      </c>
      <c r="I254" s="12" t="str">
        <f>TEXT(tblAttendance[[#This Row],[Date]],"mmm")</f>
        <v>Jul</v>
      </c>
      <c r="J254" s="12" t="str">
        <f>TEXT(tblAttendance[[#This Row],[Date]],"yyyy")</f>
        <v>2026</v>
      </c>
      <c r="K254" s="12" t="str">
        <f>TEXT(tblAttendance[[#This Row],[Date]],"dddd")</f>
        <v>Friday</v>
      </c>
      <c r="L254" s="29" t="str">
        <f>_xlfn.XLOOKUP(tblAttendance[[#This Row],[Student_ID]],tblStudents[Student_ID],tblStudents[Address])</f>
        <v>Pune, Maharashtra</v>
      </c>
    </row>
    <row r="255" spans="1:12" x14ac:dyDescent="0.3">
      <c r="A255" s="17">
        <v>254</v>
      </c>
      <c r="B255" s="23" t="s">
        <v>162</v>
      </c>
      <c r="C255" s="10" t="s">
        <v>163</v>
      </c>
      <c r="D255" s="10" t="s">
        <v>346</v>
      </c>
      <c r="E255" s="9">
        <v>9876501254</v>
      </c>
      <c r="F255" s="11">
        <v>46206</v>
      </c>
      <c r="G255" s="12">
        <v>0.72460648148148143</v>
      </c>
      <c r="I255" s="12" t="str">
        <f>TEXT(tblAttendance[[#This Row],[Date]],"mmm")</f>
        <v>Jul</v>
      </c>
      <c r="J255" s="12" t="str">
        <f>TEXT(tblAttendance[[#This Row],[Date]],"yyyy")</f>
        <v>2026</v>
      </c>
      <c r="K255" s="12" t="str">
        <f>TEXT(tblAttendance[[#This Row],[Date]],"dddd")</f>
        <v>Friday</v>
      </c>
      <c r="L255" s="29" t="str">
        <f>_xlfn.XLOOKUP(tblAttendance[[#This Row],[Student_ID]],tblStudents[Student_ID],tblStudents[Address])</f>
        <v>Ahilya Nagar, Maharashtra, Maharashtra</v>
      </c>
    </row>
    <row r="256" spans="1:12" x14ac:dyDescent="0.3">
      <c r="A256" s="17">
        <v>255</v>
      </c>
      <c r="B256" s="23" t="s">
        <v>164</v>
      </c>
      <c r="C256" s="10" t="s">
        <v>165</v>
      </c>
      <c r="D256" s="10" t="s">
        <v>343</v>
      </c>
      <c r="E256" s="9">
        <v>9876501255</v>
      </c>
      <c r="F256" s="11">
        <v>46206</v>
      </c>
      <c r="G256" s="12">
        <v>0.72464120370370366</v>
      </c>
      <c r="I256" s="12" t="str">
        <f>TEXT(tblAttendance[[#This Row],[Date]],"mmm")</f>
        <v>Jul</v>
      </c>
      <c r="J256" s="12" t="str">
        <f>TEXT(tblAttendance[[#This Row],[Date]],"yyyy")</f>
        <v>2026</v>
      </c>
      <c r="K256" s="12" t="str">
        <f>TEXT(tblAttendance[[#This Row],[Date]],"dddd")</f>
        <v>Friday</v>
      </c>
      <c r="L256" s="29" t="str">
        <f>_xlfn.XLOOKUP(tblAttendance[[#This Row],[Student_ID]],tblStudents[Student_ID],tblStudents[Address])</f>
        <v>Chhatrapati Sambhajinagar, Maharashtra</v>
      </c>
    </row>
    <row r="257" spans="1:12" x14ac:dyDescent="0.3">
      <c r="A257" s="17">
        <v>256</v>
      </c>
      <c r="B257" s="23" t="s">
        <v>166</v>
      </c>
      <c r="C257" s="10" t="s">
        <v>167</v>
      </c>
      <c r="D257" s="10" t="s">
        <v>346</v>
      </c>
      <c r="E257" s="9">
        <v>9876501256</v>
      </c>
      <c r="F257" s="11">
        <v>46206</v>
      </c>
      <c r="G257" s="12">
        <v>0.72467592592592589</v>
      </c>
      <c r="I257" s="12" t="str">
        <f>TEXT(tblAttendance[[#This Row],[Date]],"mmm")</f>
        <v>Jul</v>
      </c>
      <c r="J257" s="12" t="str">
        <f>TEXT(tblAttendance[[#This Row],[Date]],"yyyy")</f>
        <v>2026</v>
      </c>
      <c r="K257" s="12" t="str">
        <f>TEXT(tblAttendance[[#This Row],[Date]],"dddd")</f>
        <v>Friday</v>
      </c>
      <c r="L257" s="29" t="str">
        <f>_xlfn.XLOOKUP(tblAttendance[[#This Row],[Student_ID]],tblStudents[Student_ID],tblStudents[Address])</f>
        <v>Pune, Maharashtra</v>
      </c>
    </row>
    <row r="258" spans="1:12" x14ac:dyDescent="0.3">
      <c r="A258" s="17">
        <v>257</v>
      </c>
      <c r="B258" s="23" t="s">
        <v>168</v>
      </c>
      <c r="C258" s="10" t="s">
        <v>169</v>
      </c>
      <c r="D258" s="10" t="s">
        <v>349</v>
      </c>
      <c r="E258" s="9">
        <v>9876501257</v>
      </c>
      <c r="F258" s="11">
        <v>46206</v>
      </c>
      <c r="G258" s="12">
        <v>0.72471064814814812</v>
      </c>
      <c r="I258" s="12" t="str">
        <f>TEXT(tblAttendance[[#This Row],[Date]],"mmm")</f>
        <v>Jul</v>
      </c>
      <c r="J258" s="12" t="str">
        <f>TEXT(tblAttendance[[#This Row],[Date]],"yyyy")</f>
        <v>2026</v>
      </c>
      <c r="K258" s="12" t="str">
        <f>TEXT(tblAttendance[[#This Row],[Date]],"dddd")</f>
        <v>Friday</v>
      </c>
      <c r="L258" s="29" t="str">
        <f>_xlfn.XLOOKUP(tblAttendance[[#This Row],[Student_ID]],tblStudents[Student_ID],tblStudents[Address])</f>
        <v>Pune, Maharashtra</v>
      </c>
    </row>
    <row r="259" spans="1:12" x14ac:dyDescent="0.3">
      <c r="A259" s="17">
        <v>258</v>
      </c>
      <c r="B259" s="23" t="s">
        <v>170</v>
      </c>
      <c r="C259" s="10" t="s">
        <v>171</v>
      </c>
      <c r="D259" s="10" t="s">
        <v>346</v>
      </c>
      <c r="E259" s="9">
        <v>9876501258</v>
      </c>
      <c r="F259" s="11">
        <v>46206</v>
      </c>
      <c r="G259" s="12">
        <v>0.72474537037037035</v>
      </c>
      <c r="I259" s="12" t="str">
        <f>TEXT(tblAttendance[[#This Row],[Date]],"mmm")</f>
        <v>Jul</v>
      </c>
      <c r="J259" s="12" t="str">
        <f>TEXT(tblAttendance[[#This Row],[Date]],"yyyy")</f>
        <v>2026</v>
      </c>
      <c r="K259" s="12" t="str">
        <f>TEXT(tblAttendance[[#This Row],[Date]],"dddd")</f>
        <v>Friday</v>
      </c>
      <c r="L259" s="29" t="str">
        <f>_xlfn.XLOOKUP(tblAttendance[[#This Row],[Student_ID]],tblStudents[Student_ID],tblStudents[Address])</f>
        <v>Ahilya Nagar, Maharashtra, Maharashtra</v>
      </c>
    </row>
    <row r="260" spans="1:12" x14ac:dyDescent="0.3">
      <c r="A260" s="17">
        <v>259</v>
      </c>
      <c r="B260" s="23" t="s">
        <v>172</v>
      </c>
      <c r="C260" s="10" t="s">
        <v>173</v>
      </c>
      <c r="D260" s="10" t="s">
        <v>340</v>
      </c>
      <c r="E260" s="9">
        <v>9876501259</v>
      </c>
      <c r="F260" s="11">
        <v>46206</v>
      </c>
      <c r="G260" s="12">
        <v>0.72478009259259257</v>
      </c>
      <c r="I260" s="12" t="str">
        <f>TEXT(tblAttendance[[#This Row],[Date]],"mmm")</f>
        <v>Jul</v>
      </c>
      <c r="J260" s="12" t="str">
        <f>TEXT(tblAttendance[[#This Row],[Date]],"yyyy")</f>
        <v>2026</v>
      </c>
      <c r="K260" s="12" t="str">
        <f>TEXT(tblAttendance[[#This Row],[Date]],"dddd")</f>
        <v>Friday</v>
      </c>
      <c r="L260" s="29" t="str">
        <f>_xlfn.XLOOKUP(tblAttendance[[#This Row],[Student_ID]],tblStudents[Student_ID],tblStudents[Address])</f>
        <v>Chhatrapati Sambhajinagar, Maharashtra</v>
      </c>
    </row>
    <row r="261" spans="1:12" x14ac:dyDescent="0.3">
      <c r="A261" s="17">
        <v>260</v>
      </c>
      <c r="B261" s="23" t="s">
        <v>174</v>
      </c>
      <c r="C261" s="10" t="s">
        <v>175</v>
      </c>
      <c r="D261" s="10" t="s">
        <v>344</v>
      </c>
      <c r="E261" s="9">
        <v>9876501260</v>
      </c>
      <c r="F261" s="11">
        <v>46206</v>
      </c>
      <c r="G261" s="12">
        <v>0.72484953703703703</v>
      </c>
      <c r="I261" s="12" t="str">
        <f>TEXT(tblAttendance[[#This Row],[Date]],"mmm")</f>
        <v>Jul</v>
      </c>
      <c r="J261" s="12" t="str">
        <f>TEXT(tblAttendance[[#This Row],[Date]],"yyyy")</f>
        <v>2026</v>
      </c>
      <c r="K261" s="12" t="str">
        <f>TEXT(tblAttendance[[#This Row],[Date]],"dddd")</f>
        <v>Friday</v>
      </c>
      <c r="L261" s="29" t="str">
        <f>_xlfn.XLOOKUP(tblAttendance[[#This Row],[Student_ID]],tblStudents[Student_ID],tblStudents[Address])</f>
        <v>Pune, Maharashtra</v>
      </c>
    </row>
    <row r="262" spans="1:12" x14ac:dyDescent="0.3">
      <c r="A262" s="17">
        <v>261</v>
      </c>
      <c r="B262" s="23" t="s">
        <v>176</v>
      </c>
      <c r="C262" s="10" t="s">
        <v>177</v>
      </c>
      <c r="D262" s="10" t="s">
        <v>347</v>
      </c>
      <c r="E262" s="9">
        <v>9876501261</v>
      </c>
      <c r="F262" s="11">
        <v>46206</v>
      </c>
      <c r="G262" s="12">
        <v>0.72488425925925926</v>
      </c>
      <c r="I262" s="12" t="str">
        <f>TEXT(tblAttendance[[#This Row],[Date]],"mmm")</f>
        <v>Jul</v>
      </c>
      <c r="J262" s="12" t="str">
        <f>TEXT(tblAttendance[[#This Row],[Date]],"yyyy")</f>
        <v>2026</v>
      </c>
      <c r="K262" s="12" t="str">
        <f>TEXT(tblAttendance[[#This Row],[Date]],"dddd")</f>
        <v>Friday</v>
      </c>
      <c r="L262" s="29" t="str">
        <f>_xlfn.XLOOKUP(tblAttendance[[#This Row],[Student_ID]],tblStudents[Student_ID],tblStudents[Address])</f>
        <v>Pune, Maharashtra</v>
      </c>
    </row>
    <row r="263" spans="1:12" x14ac:dyDescent="0.3">
      <c r="A263" s="17">
        <v>262</v>
      </c>
      <c r="B263" s="23" t="s">
        <v>178</v>
      </c>
      <c r="C263" s="10" t="s">
        <v>179</v>
      </c>
      <c r="D263" s="10" t="s">
        <v>341</v>
      </c>
      <c r="E263" s="9">
        <v>9876501262</v>
      </c>
      <c r="F263" s="11">
        <v>46206</v>
      </c>
      <c r="G263" s="12">
        <v>0.72491898148148148</v>
      </c>
      <c r="I263" s="12" t="str">
        <f>TEXT(tblAttendance[[#This Row],[Date]],"mmm")</f>
        <v>Jul</v>
      </c>
      <c r="J263" s="12" t="str">
        <f>TEXT(tblAttendance[[#This Row],[Date]],"yyyy")</f>
        <v>2026</v>
      </c>
      <c r="K263" s="12" t="str">
        <f>TEXT(tblAttendance[[#This Row],[Date]],"dddd")</f>
        <v>Friday</v>
      </c>
      <c r="L263" s="29" t="str">
        <f>_xlfn.XLOOKUP(tblAttendance[[#This Row],[Student_ID]],tblStudents[Student_ID],tblStudents[Address])</f>
        <v>Ahilya Nagar, Maharashtra, Maharashtra</v>
      </c>
    </row>
    <row r="264" spans="1:12" x14ac:dyDescent="0.3">
      <c r="A264" s="17">
        <v>263</v>
      </c>
      <c r="B264" s="23" t="s">
        <v>180</v>
      </c>
      <c r="C264" s="10" t="s">
        <v>181</v>
      </c>
      <c r="D264" s="10" t="s">
        <v>343</v>
      </c>
      <c r="E264" s="9">
        <v>9876501263</v>
      </c>
      <c r="F264" s="11">
        <v>46206</v>
      </c>
      <c r="G264" s="12">
        <v>0.72496527777777775</v>
      </c>
      <c r="I264" s="12" t="str">
        <f>TEXT(tblAttendance[[#This Row],[Date]],"mmm")</f>
        <v>Jul</v>
      </c>
      <c r="J264" s="12" t="str">
        <f>TEXT(tblAttendance[[#This Row],[Date]],"yyyy")</f>
        <v>2026</v>
      </c>
      <c r="K264" s="12" t="str">
        <f>TEXT(tblAttendance[[#This Row],[Date]],"dddd")</f>
        <v>Friday</v>
      </c>
      <c r="L264" s="29" t="str">
        <f>_xlfn.XLOOKUP(tblAttendance[[#This Row],[Student_ID]],tblStudents[Student_ID],tblStudents[Address])</f>
        <v>Chhatrapati Sambhajinagar, Maharashtra</v>
      </c>
    </row>
    <row r="265" spans="1:12" x14ac:dyDescent="0.3">
      <c r="A265" s="17">
        <v>264</v>
      </c>
      <c r="B265" s="23" t="s">
        <v>182</v>
      </c>
      <c r="C265" s="10" t="s">
        <v>183</v>
      </c>
      <c r="D265" s="10" t="s">
        <v>344</v>
      </c>
      <c r="E265" s="9">
        <v>9876501264</v>
      </c>
      <c r="F265" s="11">
        <v>46206</v>
      </c>
      <c r="G265" s="12">
        <v>0.72501157407407413</v>
      </c>
      <c r="I265" s="12" t="str">
        <f>TEXT(tblAttendance[[#This Row],[Date]],"mmm")</f>
        <v>Jul</v>
      </c>
      <c r="J265" s="12" t="str">
        <f>TEXT(tblAttendance[[#This Row],[Date]],"yyyy")</f>
        <v>2026</v>
      </c>
      <c r="K265" s="12" t="str">
        <f>TEXT(tblAttendance[[#This Row],[Date]],"dddd")</f>
        <v>Friday</v>
      </c>
      <c r="L265" s="29" t="str">
        <f>_xlfn.XLOOKUP(tblAttendance[[#This Row],[Student_ID]],tblStudents[Student_ID],tblStudents[Address])</f>
        <v>Pune, Maharashtra</v>
      </c>
    </row>
    <row r="266" spans="1:12" x14ac:dyDescent="0.3">
      <c r="A266" s="17">
        <v>265</v>
      </c>
      <c r="B266" s="23" t="s">
        <v>184</v>
      </c>
      <c r="C266" s="10" t="s">
        <v>185</v>
      </c>
      <c r="D266" s="10" t="s">
        <v>343</v>
      </c>
      <c r="E266" s="9">
        <v>9876501265</v>
      </c>
      <c r="F266" s="11">
        <v>46206</v>
      </c>
      <c r="G266" s="12">
        <v>0.72505787037037039</v>
      </c>
      <c r="I266" s="12" t="str">
        <f>TEXT(tblAttendance[[#This Row],[Date]],"mmm")</f>
        <v>Jul</v>
      </c>
      <c r="J266" s="12" t="str">
        <f>TEXT(tblAttendance[[#This Row],[Date]],"yyyy")</f>
        <v>2026</v>
      </c>
      <c r="K266" s="12" t="str">
        <f>TEXT(tblAttendance[[#This Row],[Date]],"dddd")</f>
        <v>Friday</v>
      </c>
      <c r="L266" s="29" t="str">
        <f>_xlfn.XLOOKUP(tblAttendance[[#This Row],[Student_ID]],tblStudents[Student_ID],tblStudents[Address])</f>
        <v>Pune, Maharashtra</v>
      </c>
    </row>
    <row r="267" spans="1:12" x14ac:dyDescent="0.3">
      <c r="A267" s="17">
        <v>266</v>
      </c>
      <c r="B267" s="23" t="s">
        <v>186</v>
      </c>
      <c r="C267" s="10" t="s">
        <v>187</v>
      </c>
      <c r="D267" s="10" t="s">
        <v>342</v>
      </c>
      <c r="E267" s="9">
        <v>9876501266</v>
      </c>
      <c r="F267" s="11">
        <v>46206</v>
      </c>
      <c r="G267" s="12">
        <v>0.72509259259259262</v>
      </c>
      <c r="I267" s="12" t="str">
        <f>TEXT(tblAttendance[[#This Row],[Date]],"mmm")</f>
        <v>Jul</v>
      </c>
      <c r="J267" s="12" t="str">
        <f>TEXT(tblAttendance[[#This Row],[Date]],"yyyy")</f>
        <v>2026</v>
      </c>
      <c r="K267" s="12" t="str">
        <f>TEXT(tblAttendance[[#This Row],[Date]],"dddd")</f>
        <v>Friday</v>
      </c>
      <c r="L267" s="29" t="str">
        <f>_xlfn.XLOOKUP(tblAttendance[[#This Row],[Student_ID]],tblStudents[Student_ID],tblStudents[Address])</f>
        <v>Ahilya Nagar, Maharashtra, Maharashtra</v>
      </c>
    </row>
    <row r="268" spans="1:12" x14ac:dyDescent="0.3">
      <c r="A268" s="17">
        <v>267</v>
      </c>
      <c r="B268" s="23" t="s">
        <v>188</v>
      </c>
      <c r="C268" s="10" t="s">
        <v>189</v>
      </c>
      <c r="D268" s="10" t="s">
        <v>343</v>
      </c>
      <c r="E268" s="9">
        <v>9876501267</v>
      </c>
      <c r="F268" s="11">
        <v>46206</v>
      </c>
      <c r="G268" s="12">
        <v>0.72513888888888889</v>
      </c>
      <c r="I268" s="12" t="str">
        <f>TEXT(tblAttendance[[#This Row],[Date]],"mmm")</f>
        <v>Jul</v>
      </c>
      <c r="J268" s="12" t="str">
        <f>TEXT(tblAttendance[[#This Row],[Date]],"yyyy")</f>
        <v>2026</v>
      </c>
      <c r="K268" s="12" t="str">
        <f>TEXT(tblAttendance[[#This Row],[Date]],"dddd")</f>
        <v>Friday</v>
      </c>
      <c r="L268" s="29" t="str">
        <f>_xlfn.XLOOKUP(tblAttendance[[#This Row],[Student_ID]],tblStudents[Student_ID],tblStudents[Address])</f>
        <v>Chhatrapati Sambhajinagar, Maharashtra</v>
      </c>
    </row>
    <row r="269" spans="1:12" x14ac:dyDescent="0.3">
      <c r="A269" s="17">
        <v>268</v>
      </c>
      <c r="B269" s="23" t="s">
        <v>190</v>
      </c>
      <c r="C269" s="10" t="s">
        <v>191</v>
      </c>
      <c r="D269" s="10" t="s">
        <v>344</v>
      </c>
      <c r="E269" s="9">
        <v>9876501268</v>
      </c>
      <c r="F269" s="11">
        <v>46206</v>
      </c>
      <c r="G269" s="12">
        <v>0.72517361111111112</v>
      </c>
      <c r="I269" s="12" t="str">
        <f>TEXT(tblAttendance[[#This Row],[Date]],"mmm")</f>
        <v>Jul</v>
      </c>
      <c r="J269" s="12" t="str">
        <f>TEXT(tblAttendance[[#This Row],[Date]],"yyyy")</f>
        <v>2026</v>
      </c>
      <c r="K269" s="12" t="str">
        <f>TEXT(tblAttendance[[#This Row],[Date]],"dddd")</f>
        <v>Friday</v>
      </c>
      <c r="L269" s="29" t="str">
        <f>_xlfn.XLOOKUP(tblAttendance[[#This Row],[Student_ID]],tblStudents[Student_ID],tblStudents[Address])</f>
        <v>Pune, Maharashtra</v>
      </c>
    </row>
    <row r="270" spans="1:12" x14ac:dyDescent="0.3">
      <c r="A270" s="17">
        <v>269</v>
      </c>
      <c r="B270" s="23" t="s">
        <v>192</v>
      </c>
      <c r="C270" s="10" t="s">
        <v>193</v>
      </c>
      <c r="D270" s="10" t="s">
        <v>346</v>
      </c>
      <c r="E270" s="9">
        <v>9876501269</v>
      </c>
      <c r="F270" s="11">
        <v>46206</v>
      </c>
      <c r="G270" s="12">
        <v>0.72520833333333334</v>
      </c>
      <c r="I270" s="12" t="str">
        <f>TEXT(tblAttendance[[#This Row],[Date]],"mmm")</f>
        <v>Jul</v>
      </c>
      <c r="J270" s="12" t="str">
        <f>TEXT(tblAttendance[[#This Row],[Date]],"yyyy")</f>
        <v>2026</v>
      </c>
      <c r="K270" s="12" t="str">
        <f>TEXT(tblAttendance[[#This Row],[Date]],"dddd")</f>
        <v>Friday</v>
      </c>
      <c r="L270" s="29" t="str">
        <f>_xlfn.XLOOKUP(tblAttendance[[#This Row],[Student_ID]],tblStudents[Student_ID],tblStudents[Address])</f>
        <v>Pune, Maharashtra</v>
      </c>
    </row>
    <row r="271" spans="1:12" x14ac:dyDescent="0.3">
      <c r="A271" s="17">
        <v>270</v>
      </c>
      <c r="B271" s="23" t="s">
        <v>194</v>
      </c>
      <c r="C271" s="10" t="s">
        <v>195</v>
      </c>
      <c r="D271" s="10" t="s">
        <v>346</v>
      </c>
      <c r="E271" s="9">
        <v>9876501270</v>
      </c>
      <c r="F271" s="11">
        <v>46206</v>
      </c>
      <c r="G271" s="12">
        <v>0.72525462962962961</v>
      </c>
      <c r="I271" s="12" t="str">
        <f>TEXT(tblAttendance[[#This Row],[Date]],"mmm")</f>
        <v>Jul</v>
      </c>
      <c r="J271" s="12" t="str">
        <f>TEXT(tblAttendance[[#This Row],[Date]],"yyyy")</f>
        <v>2026</v>
      </c>
      <c r="K271" s="12" t="str">
        <f>TEXT(tblAttendance[[#This Row],[Date]],"dddd")</f>
        <v>Friday</v>
      </c>
      <c r="L271" s="29" t="str">
        <f>_xlfn.XLOOKUP(tblAttendance[[#This Row],[Student_ID]],tblStudents[Student_ID],tblStudents[Address])</f>
        <v>Chhatrapati Sambhajinagar, Maharashtra</v>
      </c>
    </row>
    <row r="272" spans="1:12" x14ac:dyDescent="0.3">
      <c r="A272" s="17">
        <v>271</v>
      </c>
      <c r="B272" s="23" t="s">
        <v>196</v>
      </c>
      <c r="C272" s="10" t="s">
        <v>197</v>
      </c>
      <c r="D272" s="10" t="s">
        <v>341</v>
      </c>
      <c r="E272" s="9">
        <v>9876501271</v>
      </c>
      <c r="F272" s="11">
        <v>46206</v>
      </c>
      <c r="G272" s="12">
        <v>0.72528935185185184</v>
      </c>
      <c r="I272" s="12" t="str">
        <f>TEXT(tblAttendance[[#This Row],[Date]],"mmm")</f>
        <v>Jul</v>
      </c>
      <c r="J272" s="12" t="str">
        <f>TEXT(tblAttendance[[#This Row],[Date]],"yyyy")</f>
        <v>2026</v>
      </c>
      <c r="K272" s="12" t="str">
        <f>TEXT(tblAttendance[[#This Row],[Date]],"dddd")</f>
        <v>Friday</v>
      </c>
      <c r="L272" s="29" t="str">
        <f>_xlfn.XLOOKUP(tblAttendance[[#This Row],[Student_ID]],tblStudents[Student_ID],tblStudents[Address])</f>
        <v>Chhatrapati Sambhajinagar, Maharashtra</v>
      </c>
    </row>
    <row r="273" spans="1:12" x14ac:dyDescent="0.3">
      <c r="A273" s="17">
        <v>272</v>
      </c>
      <c r="B273" s="23" t="s">
        <v>198</v>
      </c>
      <c r="C273" s="10" t="s">
        <v>199</v>
      </c>
      <c r="D273" s="10" t="s">
        <v>343</v>
      </c>
      <c r="E273" s="9">
        <v>9876501272</v>
      </c>
      <c r="F273" s="11">
        <v>46206</v>
      </c>
      <c r="G273" s="12">
        <v>0.7253356481481481</v>
      </c>
      <c r="I273" s="12" t="str">
        <f>TEXT(tblAttendance[[#This Row],[Date]],"mmm")</f>
        <v>Jul</v>
      </c>
      <c r="J273" s="12" t="str">
        <f>TEXT(tblAttendance[[#This Row],[Date]],"yyyy")</f>
        <v>2026</v>
      </c>
      <c r="K273" s="12" t="str">
        <f>TEXT(tblAttendance[[#This Row],[Date]],"dddd")</f>
        <v>Friday</v>
      </c>
      <c r="L273" s="29" t="str">
        <f>_xlfn.XLOOKUP(tblAttendance[[#This Row],[Student_ID]],tblStudents[Student_ID],tblStudents[Address])</f>
        <v>Pune, Maharashtra</v>
      </c>
    </row>
    <row r="274" spans="1:12" x14ac:dyDescent="0.3">
      <c r="A274" s="17">
        <v>273</v>
      </c>
      <c r="B274" s="23" t="s">
        <v>200</v>
      </c>
      <c r="C274" s="10" t="s">
        <v>201</v>
      </c>
      <c r="D274" s="10" t="s">
        <v>344</v>
      </c>
      <c r="E274" s="9">
        <v>9876501273</v>
      </c>
      <c r="F274" s="11">
        <v>46206</v>
      </c>
      <c r="G274" s="12">
        <v>0.72537037037037033</v>
      </c>
      <c r="I274" s="12" t="str">
        <f>TEXT(tblAttendance[[#This Row],[Date]],"mmm")</f>
        <v>Jul</v>
      </c>
      <c r="J274" s="12" t="str">
        <f>TEXT(tblAttendance[[#This Row],[Date]],"yyyy")</f>
        <v>2026</v>
      </c>
      <c r="K274" s="12" t="str">
        <f>TEXT(tblAttendance[[#This Row],[Date]],"dddd")</f>
        <v>Friday</v>
      </c>
      <c r="L274" s="29" t="str">
        <f>_xlfn.XLOOKUP(tblAttendance[[#This Row],[Student_ID]],tblStudents[Student_ID],tblStudents[Address])</f>
        <v>Pune, Maharashtra</v>
      </c>
    </row>
    <row r="275" spans="1:12" x14ac:dyDescent="0.3">
      <c r="A275" s="17">
        <v>274</v>
      </c>
      <c r="B275" s="23" t="s">
        <v>202</v>
      </c>
      <c r="C275" s="10" t="s">
        <v>203</v>
      </c>
      <c r="D275" s="10" t="s">
        <v>349</v>
      </c>
      <c r="E275" s="9">
        <v>9876501274</v>
      </c>
      <c r="F275" s="11">
        <v>46206</v>
      </c>
      <c r="G275" s="12">
        <v>0.72540509259259256</v>
      </c>
      <c r="I275" s="12" t="str">
        <f>TEXT(tblAttendance[[#This Row],[Date]],"mmm")</f>
        <v>Jul</v>
      </c>
      <c r="J275" s="12" t="str">
        <f>TEXT(tblAttendance[[#This Row],[Date]],"yyyy")</f>
        <v>2026</v>
      </c>
      <c r="K275" s="12" t="str">
        <f>TEXT(tblAttendance[[#This Row],[Date]],"dddd")</f>
        <v>Friday</v>
      </c>
      <c r="L275" s="29" t="str">
        <f>_xlfn.XLOOKUP(tblAttendance[[#This Row],[Student_ID]],tblStudents[Student_ID],tblStudents[Address])</f>
        <v>Ahilya Nagar, Maharashtra, Maharashtra</v>
      </c>
    </row>
    <row r="276" spans="1:12" x14ac:dyDescent="0.3">
      <c r="A276" s="17">
        <v>275</v>
      </c>
      <c r="B276" s="23" t="s">
        <v>204</v>
      </c>
      <c r="C276" s="10" t="s">
        <v>205</v>
      </c>
      <c r="D276" s="10" t="s">
        <v>343</v>
      </c>
      <c r="E276" s="9">
        <v>9876501275</v>
      </c>
      <c r="F276" s="11">
        <v>46206</v>
      </c>
      <c r="G276" s="12">
        <v>0.72543981481481479</v>
      </c>
      <c r="I276" s="12" t="str">
        <f>TEXT(tblAttendance[[#This Row],[Date]],"mmm")</f>
        <v>Jul</v>
      </c>
      <c r="J276" s="12" t="str">
        <f>TEXT(tblAttendance[[#This Row],[Date]],"yyyy")</f>
        <v>2026</v>
      </c>
      <c r="K276" s="12" t="str">
        <f>TEXT(tblAttendance[[#This Row],[Date]],"dddd")</f>
        <v>Friday</v>
      </c>
      <c r="L276" s="29" t="str">
        <f>_xlfn.XLOOKUP(tblAttendance[[#This Row],[Student_ID]],tblStudents[Student_ID],tblStudents[Address])</f>
        <v>Chhatrapati Sambhajinagar, Maharashtra</v>
      </c>
    </row>
    <row r="277" spans="1:12" x14ac:dyDescent="0.3">
      <c r="A277" s="17">
        <v>276</v>
      </c>
      <c r="B277" s="23" t="s">
        <v>206</v>
      </c>
      <c r="C277" s="10" t="s">
        <v>207</v>
      </c>
      <c r="D277" s="10" t="s">
        <v>347</v>
      </c>
      <c r="E277" s="9">
        <v>9876501276</v>
      </c>
      <c r="F277" s="11">
        <v>46206</v>
      </c>
      <c r="G277" s="12">
        <v>0.72548611111111116</v>
      </c>
      <c r="I277" s="12" t="str">
        <f>TEXT(tblAttendance[[#This Row],[Date]],"mmm")</f>
        <v>Jul</v>
      </c>
      <c r="J277" s="12" t="str">
        <f>TEXT(tblAttendance[[#This Row],[Date]],"yyyy")</f>
        <v>2026</v>
      </c>
      <c r="K277" s="12" t="str">
        <f>TEXT(tblAttendance[[#This Row],[Date]],"dddd")</f>
        <v>Friday</v>
      </c>
      <c r="L277" s="29" t="str">
        <f>_xlfn.XLOOKUP(tblAttendance[[#This Row],[Student_ID]],tblStudents[Student_ID],tblStudents[Address])</f>
        <v>Pune, Maharashtra</v>
      </c>
    </row>
    <row r="278" spans="1:12" x14ac:dyDescent="0.3">
      <c r="A278" s="17">
        <v>277</v>
      </c>
      <c r="B278" s="23" t="s">
        <v>208</v>
      </c>
      <c r="C278" s="10" t="s">
        <v>209</v>
      </c>
      <c r="D278" s="10" t="s">
        <v>350</v>
      </c>
      <c r="E278" s="9">
        <v>9834512701</v>
      </c>
      <c r="F278" s="11">
        <v>46206</v>
      </c>
      <c r="G278" s="12">
        <v>0.72553240740740743</v>
      </c>
      <c r="I278" s="12" t="str">
        <f>TEXT(tblAttendance[[#This Row],[Date]],"mmm")</f>
        <v>Jul</v>
      </c>
      <c r="J278" s="12" t="str">
        <f>TEXT(tblAttendance[[#This Row],[Date]],"yyyy")</f>
        <v>2026</v>
      </c>
      <c r="K278" s="12" t="str">
        <f>TEXT(tblAttendance[[#This Row],[Date]],"dddd")</f>
        <v>Friday</v>
      </c>
      <c r="L278" s="29" t="str">
        <f>_xlfn.XLOOKUP(tblAttendance[[#This Row],[Student_ID]],tblStudents[Student_ID],tblStudents[Address])</f>
        <v>Hadapsar, Pune</v>
      </c>
    </row>
    <row r="279" spans="1:12" x14ac:dyDescent="0.3">
      <c r="A279" s="17">
        <v>278</v>
      </c>
      <c r="B279" s="23" t="s">
        <v>211</v>
      </c>
      <c r="C279" s="10" t="s">
        <v>212</v>
      </c>
      <c r="D279" s="10" t="s">
        <v>348</v>
      </c>
      <c r="E279" s="9">
        <v>9834512702</v>
      </c>
      <c r="F279" s="11">
        <v>46206</v>
      </c>
      <c r="G279" s="12">
        <v>0.7255787037037037</v>
      </c>
      <c r="I279" s="12" t="str">
        <f>TEXT(tblAttendance[[#This Row],[Date]],"mmm")</f>
        <v>Jul</v>
      </c>
      <c r="J279" s="12" t="str">
        <f>TEXT(tblAttendance[[#This Row],[Date]],"yyyy")</f>
        <v>2026</v>
      </c>
      <c r="K279" s="12" t="str">
        <f>TEXT(tblAttendance[[#This Row],[Date]],"dddd")</f>
        <v>Friday</v>
      </c>
      <c r="L279" s="29" t="str">
        <f>_xlfn.XLOOKUP(tblAttendance[[#This Row],[Student_ID]],tblStudents[Student_ID],tblStudents[Address])</f>
        <v>Wagholi, Pune</v>
      </c>
    </row>
    <row r="280" spans="1:12" x14ac:dyDescent="0.3">
      <c r="A280" s="17">
        <v>279</v>
      </c>
      <c r="B280" s="23" t="s">
        <v>214</v>
      </c>
      <c r="C280" s="10" t="s">
        <v>215</v>
      </c>
      <c r="D280" s="10" t="s">
        <v>348</v>
      </c>
      <c r="E280" s="9">
        <v>9834512703</v>
      </c>
      <c r="F280" s="11">
        <v>46206</v>
      </c>
      <c r="G280" s="12">
        <v>0.72561342592592593</v>
      </c>
      <c r="I280" s="12" t="str">
        <f>TEXT(tblAttendance[[#This Row],[Date]],"mmm")</f>
        <v>Jul</v>
      </c>
      <c r="J280" s="12" t="str">
        <f>TEXT(tblAttendance[[#This Row],[Date]],"yyyy")</f>
        <v>2026</v>
      </c>
      <c r="K280" s="12" t="str">
        <f>TEXT(tblAttendance[[#This Row],[Date]],"dddd")</f>
        <v>Friday</v>
      </c>
      <c r="L280" s="29" t="str">
        <f>_xlfn.XLOOKUP(tblAttendance[[#This Row],[Student_ID]],tblStudents[Student_ID],tblStudents[Address])</f>
        <v>Chakan, Pune</v>
      </c>
    </row>
    <row r="281" spans="1:12" x14ac:dyDescent="0.3">
      <c r="A281" s="17">
        <v>280</v>
      </c>
      <c r="B281" s="23" t="s">
        <v>217</v>
      </c>
      <c r="C281" s="10" t="s">
        <v>218</v>
      </c>
      <c r="D281" s="10" t="s">
        <v>349</v>
      </c>
      <c r="E281" s="9">
        <v>9834512704</v>
      </c>
      <c r="F281" s="11">
        <v>46206</v>
      </c>
      <c r="G281" s="12">
        <v>0.72565972222222219</v>
      </c>
      <c r="I281" s="12" t="str">
        <f>TEXT(tblAttendance[[#This Row],[Date]],"mmm")</f>
        <v>Jul</v>
      </c>
      <c r="J281" s="12" t="str">
        <f>TEXT(tblAttendance[[#This Row],[Date]],"yyyy")</f>
        <v>2026</v>
      </c>
      <c r="K281" s="12" t="str">
        <f>TEXT(tblAttendance[[#This Row],[Date]],"dddd")</f>
        <v>Friday</v>
      </c>
      <c r="L281" s="29" t="str">
        <f>_xlfn.XLOOKUP(tblAttendance[[#This Row],[Student_ID]],tblStudents[Student_ID],tblStudents[Address])</f>
        <v>Kharadi, Pune</v>
      </c>
    </row>
    <row r="282" spans="1:12" x14ac:dyDescent="0.3">
      <c r="A282" s="17">
        <v>281</v>
      </c>
      <c r="B282" s="23" t="s">
        <v>220</v>
      </c>
      <c r="C282" s="10" t="s">
        <v>221</v>
      </c>
      <c r="D282" s="10" t="s">
        <v>344</v>
      </c>
      <c r="E282" s="9">
        <v>9834512705</v>
      </c>
      <c r="F282" s="11">
        <v>46206</v>
      </c>
      <c r="G282" s="12">
        <v>0.72570601851851857</v>
      </c>
      <c r="I282" s="12" t="str">
        <f>TEXT(tblAttendance[[#This Row],[Date]],"mmm")</f>
        <v>Jul</v>
      </c>
      <c r="J282" s="12" t="str">
        <f>TEXT(tblAttendance[[#This Row],[Date]],"yyyy")</f>
        <v>2026</v>
      </c>
      <c r="K282" s="12" t="str">
        <f>TEXT(tblAttendance[[#This Row],[Date]],"dddd")</f>
        <v>Friday</v>
      </c>
      <c r="L282" s="29" t="str">
        <f>_xlfn.XLOOKUP(tblAttendance[[#This Row],[Student_ID]],tblStudents[Student_ID],tblStudents[Address])</f>
        <v>Hinjawadi, Pune</v>
      </c>
    </row>
    <row r="283" spans="1:12" x14ac:dyDescent="0.3">
      <c r="A283" s="17">
        <v>282</v>
      </c>
      <c r="B283" s="23" t="s">
        <v>223</v>
      </c>
      <c r="C283" s="10" t="s">
        <v>224</v>
      </c>
      <c r="D283" s="10" t="s">
        <v>343</v>
      </c>
      <c r="E283" s="9">
        <v>9834512706</v>
      </c>
      <c r="F283" s="11">
        <v>46206</v>
      </c>
      <c r="G283" s="12">
        <v>0.72601851851851851</v>
      </c>
      <c r="I283" s="12" t="str">
        <f>TEXT(tblAttendance[[#This Row],[Date]],"mmm")</f>
        <v>Jul</v>
      </c>
      <c r="J283" s="12" t="str">
        <f>TEXT(tblAttendance[[#This Row],[Date]],"yyyy")</f>
        <v>2026</v>
      </c>
      <c r="K283" s="12" t="str">
        <f>TEXT(tblAttendance[[#This Row],[Date]],"dddd")</f>
        <v>Friday</v>
      </c>
      <c r="L283" s="29" t="str">
        <f>_xlfn.XLOOKUP(tblAttendance[[#This Row],[Student_ID]],tblStudents[Student_ID],tblStudents[Address])</f>
        <v>Baner, Pune</v>
      </c>
    </row>
    <row r="284" spans="1:12" x14ac:dyDescent="0.3">
      <c r="A284" s="17">
        <v>283</v>
      </c>
      <c r="B284" s="23" t="s">
        <v>226</v>
      </c>
      <c r="C284" s="10" t="s">
        <v>227</v>
      </c>
      <c r="D284" s="10" t="s">
        <v>340</v>
      </c>
      <c r="E284" s="9">
        <v>9834512707</v>
      </c>
      <c r="F284" s="11">
        <v>46206</v>
      </c>
      <c r="G284" s="12">
        <v>0.72606481481481477</v>
      </c>
      <c r="I284" s="12" t="str">
        <f>TEXT(tblAttendance[[#This Row],[Date]],"mmm")</f>
        <v>Jul</v>
      </c>
      <c r="J284" s="12" t="str">
        <f>TEXT(tblAttendance[[#This Row],[Date]],"yyyy")</f>
        <v>2026</v>
      </c>
      <c r="K284" s="12" t="str">
        <f>TEXT(tblAttendance[[#This Row],[Date]],"dddd")</f>
        <v>Friday</v>
      </c>
      <c r="L284" s="29" t="str">
        <f>_xlfn.XLOOKUP(tblAttendance[[#This Row],[Student_ID]],tblStudents[Student_ID],tblStudents[Address])</f>
        <v>Wakad, Pune</v>
      </c>
    </row>
    <row r="285" spans="1:12" x14ac:dyDescent="0.3">
      <c r="A285" s="17">
        <v>284</v>
      </c>
      <c r="B285" s="23" t="s">
        <v>229</v>
      </c>
      <c r="C285" s="10" t="s">
        <v>230</v>
      </c>
      <c r="D285" s="10" t="s">
        <v>340</v>
      </c>
      <c r="E285" s="9">
        <v>9834512708</v>
      </c>
      <c r="F285" s="11">
        <v>46206</v>
      </c>
      <c r="G285" s="12">
        <v>0.726099537037037</v>
      </c>
      <c r="I285" s="12" t="str">
        <f>TEXT(tblAttendance[[#This Row],[Date]],"mmm")</f>
        <v>Jul</v>
      </c>
      <c r="J285" s="12" t="str">
        <f>TEXT(tblAttendance[[#This Row],[Date]],"yyyy")</f>
        <v>2026</v>
      </c>
      <c r="K285" s="12" t="str">
        <f>TEXT(tblAttendance[[#This Row],[Date]],"dddd")</f>
        <v>Friday</v>
      </c>
      <c r="L285" s="29" t="str">
        <f>_xlfn.XLOOKUP(tblAttendance[[#This Row],[Student_ID]],tblStudents[Student_ID],tblStudents[Address])</f>
        <v>Pimpri, Pune</v>
      </c>
    </row>
    <row r="286" spans="1:12" x14ac:dyDescent="0.3">
      <c r="A286" s="17">
        <v>285</v>
      </c>
      <c r="B286" s="23" t="s">
        <v>232</v>
      </c>
      <c r="C286" s="10" t="s">
        <v>233</v>
      </c>
      <c r="D286" s="10" t="s">
        <v>347</v>
      </c>
      <c r="E286" s="9">
        <v>9834512709</v>
      </c>
      <c r="F286" s="11">
        <v>46206</v>
      </c>
      <c r="G286" s="12">
        <v>0.72613425925925923</v>
      </c>
      <c r="I286" s="12" t="str">
        <f>TEXT(tblAttendance[[#This Row],[Date]],"mmm")</f>
        <v>Jul</v>
      </c>
      <c r="J286" s="12" t="str">
        <f>TEXT(tblAttendance[[#This Row],[Date]],"yyyy")</f>
        <v>2026</v>
      </c>
      <c r="K286" s="12" t="str">
        <f>TEXT(tblAttendance[[#This Row],[Date]],"dddd")</f>
        <v>Friday</v>
      </c>
      <c r="L286" s="29" t="str">
        <f>_xlfn.XLOOKUP(tblAttendance[[#This Row],[Student_ID]],tblStudents[Student_ID],tblStudents[Address])</f>
        <v>Chinchwad, Pune</v>
      </c>
    </row>
    <row r="287" spans="1:12" x14ac:dyDescent="0.3">
      <c r="A287" s="17">
        <v>286</v>
      </c>
      <c r="B287" s="23" t="s">
        <v>235</v>
      </c>
      <c r="C287" s="10" t="s">
        <v>236</v>
      </c>
      <c r="D287" s="10" t="s">
        <v>348</v>
      </c>
      <c r="E287" s="9">
        <v>9834512710</v>
      </c>
      <c r="F287" s="11">
        <v>46206</v>
      </c>
      <c r="G287" s="12">
        <v>0.72619212962962965</v>
      </c>
      <c r="I287" s="12" t="str">
        <f>TEXT(tblAttendance[[#This Row],[Date]],"mmm")</f>
        <v>Jul</v>
      </c>
      <c r="J287" s="12" t="str">
        <f>TEXT(tblAttendance[[#This Row],[Date]],"yyyy")</f>
        <v>2026</v>
      </c>
      <c r="K287" s="12" t="str">
        <f>TEXT(tblAttendance[[#This Row],[Date]],"dddd")</f>
        <v>Friday</v>
      </c>
      <c r="L287" s="29" t="str">
        <f>_xlfn.XLOOKUP(tblAttendance[[#This Row],[Student_ID]],tblStudents[Student_ID],tblStudents[Address])</f>
        <v>Talegaon, Pune</v>
      </c>
    </row>
    <row r="288" spans="1:12" x14ac:dyDescent="0.3">
      <c r="A288" s="17">
        <v>287</v>
      </c>
      <c r="B288" s="23" t="s">
        <v>238</v>
      </c>
      <c r="C288" s="10" t="s">
        <v>239</v>
      </c>
      <c r="D288" s="10" t="s">
        <v>340</v>
      </c>
      <c r="E288" s="9">
        <v>9834512711</v>
      </c>
      <c r="F288" s="11">
        <v>46206</v>
      </c>
      <c r="G288" s="12">
        <v>0.72622685185185187</v>
      </c>
      <c r="I288" s="12" t="str">
        <f>TEXT(tblAttendance[[#This Row],[Date]],"mmm")</f>
        <v>Jul</v>
      </c>
      <c r="J288" s="12" t="str">
        <f>TEXT(tblAttendance[[#This Row],[Date]],"yyyy")</f>
        <v>2026</v>
      </c>
      <c r="K288" s="12" t="str">
        <f>TEXT(tblAttendance[[#This Row],[Date]],"dddd")</f>
        <v>Friday</v>
      </c>
      <c r="L288" s="29" t="str">
        <f>_xlfn.XLOOKUP(tblAttendance[[#This Row],[Student_ID]],tblStudents[Student_ID],tblStudents[Address])</f>
        <v>Moshi, Pune</v>
      </c>
    </row>
    <row r="289" spans="1:12" x14ac:dyDescent="0.3">
      <c r="A289" s="17">
        <v>288</v>
      </c>
      <c r="B289" s="23" t="s">
        <v>241</v>
      </c>
      <c r="C289" s="10" t="s">
        <v>242</v>
      </c>
      <c r="D289" s="10" t="s">
        <v>341</v>
      </c>
      <c r="E289" s="9">
        <v>9834512712</v>
      </c>
      <c r="F289" s="11">
        <v>46206</v>
      </c>
      <c r="G289" s="12">
        <v>0.72629629629629633</v>
      </c>
      <c r="I289" s="12" t="str">
        <f>TEXT(tblAttendance[[#This Row],[Date]],"mmm")</f>
        <v>Jul</v>
      </c>
      <c r="J289" s="12" t="str">
        <f>TEXT(tblAttendance[[#This Row],[Date]],"yyyy")</f>
        <v>2026</v>
      </c>
      <c r="K289" s="12" t="str">
        <f>TEXT(tblAttendance[[#This Row],[Date]],"dddd")</f>
        <v>Friday</v>
      </c>
      <c r="L289" s="29" t="str">
        <f>_xlfn.XLOOKUP(tblAttendance[[#This Row],[Student_ID]],tblStudents[Student_ID],tblStudents[Address])</f>
        <v>Bhosari, Pune</v>
      </c>
    </row>
    <row r="290" spans="1:12" x14ac:dyDescent="0.3">
      <c r="A290" s="17">
        <v>289</v>
      </c>
      <c r="B290" s="23" t="s">
        <v>244</v>
      </c>
      <c r="C290" s="10" t="s">
        <v>245</v>
      </c>
      <c r="D290" s="10" t="s">
        <v>342</v>
      </c>
      <c r="E290" s="9">
        <v>9834512713</v>
      </c>
      <c r="F290" s="11">
        <v>46206</v>
      </c>
      <c r="G290" s="12">
        <v>0.7263425925925926</v>
      </c>
      <c r="I290" s="12" t="str">
        <f>TEXT(tblAttendance[[#This Row],[Date]],"mmm")</f>
        <v>Jul</v>
      </c>
      <c r="J290" s="12" t="str">
        <f>TEXT(tblAttendance[[#This Row],[Date]],"yyyy")</f>
        <v>2026</v>
      </c>
      <c r="K290" s="12" t="str">
        <f>TEXT(tblAttendance[[#This Row],[Date]],"dddd")</f>
        <v>Friday</v>
      </c>
      <c r="L290" s="29" t="str">
        <f>_xlfn.XLOOKUP(tblAttendance[[#This Row],[Student_ID]],tblStudents[Student_ID],tblStudents[Address])</f>
        <v>Alandi, Pune</v>
      </c>
    </row>
    <row r="291" spans="1:12" x14ac:dyDescent="0.3">
      <c r="A291" s="17">
        <v>290</v>
      </c>
      <c r="B291" s="23" t="s">
        <v>247</v>
      </c>
      <c r="C291" s="10" t="s">
        <v>248</v>
      </c>
      <c r="D291" s="10" t="s">
        <v>343</v>
      </c>
      <c r="E291" s="9">
        <v>9834512714</v>
      </c>
      <c r="F291" s="11">
        <v>46206</v>
      </c>
      <c r="G291" s="12">
        <v>0.72641203703703705</v>
      </c>
      <c r="I291" s="12" t="str">
        <f>TEXT(tblAttendance[[#This Row],[Date]],"mmm")</f>
        <v>Jul</v>
      </c>
      <c r="J291" s="12" t="str">
        <f>TEXT(tblAttendance[[#This Row],[Date]],"yyyy")</f>
        <v>2026</v>
      </c>
      <c r="K291" s="12" t="str">
        <f>TEXT(tblAttendance[[#This Row],[Date]],"dddd")</f>
        <v>Friday</v>
      </c>
      <c r="L291" s="29" t="str">
        <f>_xlfn.XLOOKUP(tblAttendance[[#This Row],[Student_ID]],tblStudents[Student_ID],tblStudents[Address])</f>
        <v>Lohegaon, Pune</v>
      </c>
    </row>
    <row r="292" spans="1:12" x14ac:dyDescent="0.3">
      <c r="A292" s="17">
        <v>291</v>
      </c>
      <c r="B292" s="23" t="s">
        <v>27</v>
      </c>
      <c r="C292" s="10" t="s">
        <v>24</v>
      </c>
      <c r="D292" s="10" t="s">
        <v>349</v>
      </c>
      <c r="E292" s="9">
        <v>9876501201</v>
      </c>
      <c r="F292" s="11">
        <v>46207</v>
      </c>
      <c r="G292" s="12">
        <v>0.50069444444444444</v>
      </c>
      <c r="I292" s="12" t="str">
        <f>TEXT(tblAttendance[[#This Row],[Date]],"mmm")</f>
        <v>Jul</v>
      </c>
      <c r="J292" s="12" t="str">
        <f>TEXT(tblAttendance[[#This Row],[Date]],"yyyy")</f>
        <v>2026</v>
      </c>
      <c r="K292" s="12" t="str">
        <f>TEXT(tblAttendance[[#This Row],[Date]],"dddd")</f>
        <v>Saturday</v>
      </c>
      <c r="L292" s="29" t="str">
        <f>_xlfn.XLOOKUP(tblAttendance[[#This Row],[Student_ID]],tblStudents[Student_ID],tblStudents[Address])</f>
        <v>Pune, Maharashtra</v>
      </c>
    </row>
    <row r="293" spans="1:12" x14ac:dyDescent="0.3">
      <c r="A293" s="9">
        <v>292</v>
      </c>
      <c r="B293" s="23" t="s">
        <v>27</v>
      </c>
      <c r="C293" s="10" t="s">
        <v>24</v>
      </c>
      <c r="D293" s="10" t="s">
        <v>349</v>
      </c>
      <c r="E293" s="9">
        <v>9876501201</v>
      </c>
      <c r="F293" s="11">
        <v>46208</v>
      </c>
      <c r="G293" s="12">
        <v>0.49327546296296299</v>
      </c>
      <c r="H293" s="12">
        <v>0.49356481481481479</v>
      </c>
      <c r="I293" s="12" t="str">
        <f>TEXT(tblAttendance[[#This Row],[Date]],"mmm")</f>
        <v>Jul</v>
      </c>
      <c r="J293" s="12" t="str">
        <f>TEXT(tblAttendance[[#This Row],[Date]],"yyyy")</f>
        <v>2026</v>
      </c>
      <c r="K293" s="12" t="str">
        <f>TEXT(tblAttendance[[#This Row],[Date]],"dddd")</f>
        <v>Sunday</v>
      </c>
      <c r="L293" s="29" t="str">
        <f>_xlfn.XLOOKUP(tblAttendance[[#This Row],[Student_ID]],tblStudents[Student_ID],tblStudents[Address])</f>
        <v>Pune, Maharashtra</v>
      </c>
    </row>
    <row r="294" spans="1:12" x14ac:dyDescent="0.3">
      <c r="A294" s="9">
        <v>293</v>
      </c>
      <c r="B294" s="23" t="s">
        <v>28</v>
      </c>
      <c r="C294" s="10" t="s">
        <v>29</v>
      </c>
      <c r="D294" s="10" t="s">
        <v>350</v>
      </c>
      <c r="E294" s="9">
        <v>9876501202</v>
      </c>
      <c r="F294" s="11">
        <v>46208</v>
      </c>
      <c r="G294" s="12">
        <v>0.49333333333333335</v>
      </c>
      <c r="H294" s="12">
        <v>0.49361111111111111</v>
      </c>
      <c r="I294" s="12" t="str">
        <f>TEXT(tblAttendance[[#This Row],[Date]],"mmm")</f>
        <v>Jul</v>
      </c>
      <c r="J294" s="12" t="str">
        <f>TEXT(tblAttendance[[#This Row],[Date]],"yyyy")</f>
        <v>2026</v>
      </c>
      <c r="K294" s="12" t="str">
        <f>TEXT(tblAttendance[[#This Row],[Date]],"dddd")</f>
        <v>Sunday</v>
      </c>
      <c r="L294" s="29" t="str">
        <f>_xlfn.XLOOKUP(tblAttendance[[#This Row],[Student_ID]],tblStudents[Student_ID],tblStudents[Address])</f>
        <v>Nashik, Maharashtra</v>
      </c>
    </row>
    <row r="295" spans="1:12" x14ac:dyDescent="0.3">
      <c r="A295" s="9">
        <v>294</v>
      </c>
      <c r="B295" s="23" t="s">
        <v>31</v>
      </c>
      <c r="C295" s="10" t="s">
        <v>32</v>
      </c>
      <c r="D295" s="10" t="s">
        <v>344</v>
      </c>
      <c r="E295" s="9">
        <v>9876501203</v>
      </c>
      <c r="F295" s="11">
        <v>46208</v>
      </c>
      <c r="G295" s="12">
        <v>0.49339120370370371</v>
      </c>
      <c r="H295" s="12">
        <v>0.49372685185185183</v>
      </c>
      <c r="I295" s="12" t="str">
        <f>TEXT(tblAttendance[[#This Row],[Date]],"mmm")</f>
        <v>Jul</v>
      </c>
      <c r="J295" s="12" t="str">
        <f>TEXT(tblAttendance[[#This Row],[Date]],"yyyy")</f>
        <v>2026</v>
      </c>
      <c r="K295" s="12" t="str">
        <f>TEXT(tblAttendance[[#This Row],[Date]],"dddd")</f>
        <v>Sunday</v>
      </c>
      <c r="L295" s="29" t="str">
        <f>_xlfn.XLOOKUP(tblAttendance[[#This Row],[Student_ID]],tblStudents[Student_ID],tblStudents[Address])</f>
        <v>Nagpur, Maharashtra</v>
      </c>
    </row>
    <row r="296" spans="1:12" x14ac:dyDescent="0.3">
      <c r="A296" s="9">
        <v>295</v>
      </c>
      <c r="B296" s="23" t="s">
        <v>34</v>
      </c>
      <c r="C296" s="10" t="s">
        <v>35</v>
      </c>
      <c r="D296" s="10" t="s">
        <v>350</v>
      </c>
      <c r="E296" s="9">
        <v>9876501204</v>
      </c>
      <c r="F296" s="11">
        <v>46208</v>
      </c>
      <c r="G296" s="12">
        <v>0.49344907407407407</v>
      </c>
      <c r="H296" s="12">
        <v>0.49386574074074074</v>
      </c>
      <c r="I296" s="12" t="str">
        <f>TEXT(tblAttendance[[#This Row],[Date]],"mmm")</f>
        <v>Jul</v>
      </c>
      <c r="J296" s="12" t="str">
        <f>TEXT(tblAttendance[[#This Row],[Date]],"yyyy")</f>
        <v>2026</v>
      </c>
      <c r="K296" s="12" t="str">
        <f>TEXT(tblAttendance[[#This Row],[Date]],"dddd")</f>
        <v>Sunday</v>
      </c>
      <c r="L296" s="29" t="str">
        <f>_xlfn.XLOOKUP(tblAttendance[[#This Row],[Student_ID]],tblStudents[Student_ID],tblStudents[Address])</f>
        <v>Mumbai, Maharashtra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B70A-CE93-4884-BBD8-2E392D055ED3}">
  <sheetPr codeName="Sheet6">
    <tabColor theme="6" tint="0.39997558519241921"/>
  </sheetPr>
  <dimension ref="A9:L97"/>
  <sheetViews>
    <sheetView showGridLines="0" zoomScale="68" workbookViewId="0">
      <selection activeCell="H10" sqref="H10"/>
    </sheetView>
  </sheetViews>
  <sheetFormatPr defaultRowHeight="14.4" x14ac:dyDescent="0.3"/>
  <cols>
    <col min="1" max="1" width="10.19921875" customWidth="1"/>
    <col min="2" max="2" width="13.5" bestFit="1" customWidth="1"/>
    <col min="3" max="3" width="18.19921875" bestFit="1" customWidth="1"/>
    <col min="5" max="5" width="13" bestFit="1" customWidth="1"/>
    <col min="6" max="6" width="18.19921875" bestFit="1" customWidth="1"/>
    <col min="7" max="7" width="18.796875" customWidth="1"/>
    <col min="8" max="8" width="13" bestFit="1" customWidth="1"/>
    <col min="9" max="10" width="18.19921875" bestFit="1" customWidth="1"/>
    <col min="11" max="11" width="24.796875" bestFit="1" customWidth="1"/>
    <col min="12" max="12" width="17.19921875" bestFit="1" customWidth="1"/>
  </cols>
  <sheetData>
    <row r="9" spans="1:9" x14ac:dyDescent="0.3">
      <c r="B9" s="31" t="s">
        <v>324</v>
      </c>
      <c r="C9" t="s">
        <v>326</v>
      </c>
      <c r="E9" s="31" t="s">
        <v>324</v>
      </c>
      <c r="F9" t="s">
        <v>339</v>
      </c>
      <c r="H9" s="31" t="s">
        <v>324</v>
      </c>
      <c r="I9" t="s">
        <v>326</v>
      </c>
    </row>
    <row r="10" spans="1:9" x14ac:dyDescent="0.3">
      <c r="B10" s="35" t="s">
        <v>359</v>
      </c>
      <c r="C10" s="36">
        <v>23</v>
      </c>
      <c r="E10" s="32" t="s">
        <v>311</v>
      </c>
      <c r="F10" s="36">
        <v>4</v>
      </c>
      <c r="H10" s="32" t="s">
        <v>329</v>
      </c>
      <c r="I10" s="36">
        <v>207</v>
      </c>
    </row>
    <row r="11" spans="1:9" x14ac:dyDescent="0.3">
      <c r="B11" s="35" t="s">
        <v>353</v>
      </c>
      <c r="C11" s="36">
        <v>14</v>
      </c>
      <c r="E11" s="32" t="s">
        <v>26</v>
      </c>
      <c r="F11" s="36">
        <v>4</v>
      </c>
      <c r="H11" s="40" t="s">
        <v>370</v>
      </c>
      <c r="I11" s="36">
        <v>112</v>
      </c>
    </row>
    <row r="12" spans="1:9" x14ac:dyDescent="0.3">
      <c r="B12" s="35" t="s">
        <v>358</v>
      </c>
      <c r="C12" s="36">
        <v>14</v>
      </c>
      <c r="E12" s="32" t="s">
        <v>325</v>
      </c>
      <c r="F12" s="36">
        <v>8</v>
      </c>
      <c r="H12" s="40" t="s">
        <v>371</v>
      </c>
      <c r="I12" s="36">
        <v>90</v>
      </c>
    </row>
    <row r="13" spans="1:9" x14ac:dyDescent="0.3">
      <c r="A13" t="s">
        <v>327</v>
      </c>
      <c r="B13" s="35" t="s">
        <v>352</v>
      </c>
      <c r="C13" s="36">
        <v>12</v>
      </c>
      <c r="H13" s="40" t="s">
        <v>372</v>
      </c>
      <c r="I13" s="36">
        <v>1</v>
      </c>
    </row>
    <row r="14" spans="1:9" x14ac:dyDescent="0.3">
      <c r="B14" s="35" t="s">
        <v>360</v>
      </c>
      <c r="C14" s="36">
        <v>10</v>
      </c>
      <c r="D14" t="s">
        <v>327</v>
      </c>
      <c r="H14" s="40" t="s">
        <v>373</v>
      </c>
      <c r="I14" s="36">
        <v>4</v>
      </c>
    </row>
    <row r="15" spans="1:9" x14ac:dyDescent="0.3">
      <c r="B15" s="35" t="s">
        <v>355</v>
      </c>
      <c r="C15" s="36">
        <v>10</v>
      </c>
      <c r="H15" s="32" t="s">
        <v>325</v>
      </c>
      <c r="I15" s="36">
        <v>207</v>
      </c>
    </row>
    <row r="16" spans="1:9" x14ac:dyDescent="0.3">
      <c r="B16" s="35" t="s">
        <v>357</v>
      </c>
      <c r="C16" s="36">
        <v>10</v>
      </c>
    </row>
    <row r="17" spans="1:12" x14ac:dyDescent="0.3">
      <c r="B17" s="35" t="s">
        <v>356</v>
      </c>
      <c r="C17" s="36">
        <v>7</v>
      </c>
    </row>
    <row r="18" spans="1:12" x14ac:dyDescent="0.3">
      <c r="B18" s="35" t="s">
        <v>361</v>
      </c>
      <c r="C18" s="36">
        <v>6</v>
      </c>
      <c r="E18" s="31" t="s">
        <v>324</v>
      </c>
      <c r="F18" t="s">
        <v>326</v>
      </c>
    </row>
    <row r="19" spans="1:12" x14ac:dyDescent="0.3">
      <c r="B19" s="35" t="s">
        <v>354</v>
      </c>
      <c r="C19" s="36">
        <v>6</v>
      </c>
      <c r="E19" s="32" t="s">
        <v>368</v>
      </c>
      <c r="F19" s="36">
        <v>56</v>
      </c>
      <c r="K19" s="38"/>
      <c r="L19" s="38"/>
    </row>
    <row r="20" spans="1:12" x14ac:dyDescent="0.3">
      <c r="B20" s="35" t="s">
        <v>366</v>
      </c>
      <c r="C20" s="36">
        <v>1</v>
      </c>
      <c r="E20" s="32" t="s">
        <v>367</v>
      </c>
      <c r="F20" s="36">
        <v>57</v>
      </c>
      <c r="K20" s="39"/>
      <c r="L20" s="39"/>
    </row>
    <row r="21" spans="1:12" x14ac:dyDescent="0.3">
      <c r="B21" s="32" t="s">
        <v>325</v>
      </c>
      <c r="C21" s="36">
        <v>113</v>
      </c>
      <c r="E21" s="32" t="s">
        <v>325</v>
      </c>
      <c r="F21" s="36">
        <v>113</v>
      </c>
      <c r="K21" s="39"/>
      <c r="L21" s="39"/>
    </row>
    <row r="22" spans="1:12" x14ac:dyDescent="0.3">
      <c r="K22" s="39"/>
      <c r="L22" s="39"/>
    </row>
    <row r="23" spans="1:12" x14ac:dyDescent="0.3">
      <c r="K23" s="39"/>
      <c r="L23" s="39"/>
    </row>
    <row r="24" spans="1:12" x14ac:dyDescent="0.3">
      <c r="K24" s="39"/>
      <c r="L24" s="39"/>
    </row>
    <row r="25" spans="1:12" x14ac:dyDescent="0.3">
      <c r="K25" s="39"/>
      <c r="L25" s="39"/>
    </row>
    <row r="26" spans="1:12" x14ac:dyDescent="0.3">
      <c r="K26" s="39"/>
      <c r="L26" s="39"/>
    </row>
    <row r="29" spans="1:12" x14ac:dyDescent="0.3">
      <c r="A29" s="31" t="s">
        <v>324</v>
      </c>
      <c r="B29" t="s">
        <v>326</v>
      </c>
      <c r="E29" s="31" t="s">
        <v>324</v>
      </c>
      <c r="F29" t="s">
        <v>326</v>
      </c>
      <c r="I29" s="31" t="s">
        <v>324</v>
      </c>
      <c r="J29" t="s">
        <v>326</v>
      </c>
    </row>
    <row r="30" spans="1:12" x14ac:dyDescent="0.3">
      <c r="A30" s="32" t="s">
        <v>328</v>
      </c>
      <c r="B30" s="36">
        <v>88</v>
      </c>
      <c r="C30" s="36"/>
      <c r="E30" s="32" t="s">
        <v>330</v>
      </c>
      <c r="F30" s="36">
        <v>88</v>
      </c>
      <c r="I30" s="32" t="s">
        <v>131</v>
      </c>
      <c r="J30" s="36">
        <v>2</v>
      </c>
    </row>
    <row r="31" spans="1:12" x14ac:dyDescent="0.3">
      <c r="A31" s="32" t="s">
        <v>329</v>
      </c>
      <c r="B31" s="36">
        <v>207</v>
      </c>
      <c r="C31" s="36"/>
      <c r="E31" s="32" t="s">
        <v>331</v>
      </c>
      <c r="F31" s="36">
        <v>112</v>
      </c>
      <c r="I31" s="32" t="s">
        <v>66</v>
      </c>
      <c r="J31" s="36">
        <v>1</v>
      </c>
    </row>
    <row r="32" spans="1:12" x14ac:dyDescent="0.3">
      <c r="A32" s="32" t="s">
        <v>325</v>
      </c>
      <c r="B32" s="36">
        <v>295</v>
      </c>
      <c r="C32" s="36"/>
      <c r="E32" s="32" t="s">
        <v>332</v>
      </c>
      <c r="F32" s="36">
        <v>90</v>
      </c>
      <c r="I32" s="32" t="s">
        <v>246</v>
      </c>
      <c r="J32" s="36">
        <v>1</v>
      </c>
    </row>
    <row r="33" spans="5:10" x14ac:dyDescent="0.3">
      <c r="E33" s="32" t="s">
        <v>333</v>
      </c>
      <c r="F33" s="36">
        <v>1</v>
      </c>
      <c r="I33" s="32" t="s">
        <v>80</v>
      </c>
      <c r="J33" s="36">
        <v>1</v>
      </c>
    </row>
    <row r="34" spans="5:10" x14ac:dyDescent="0.3">
      <c r="E34" s="32" t="s">
        <v>369</v>
      </c>
      <c r="F34" s="36">
        <v>4</v>
      </c>
      <c r="I34" s="32" t="s">
        <v>225</v>
      </c>
      <c r="J34" s="36">
        <v>1</v>
      </c>
    </row>
    <row r="35" spans="5:10" x14ac:dyDescent="0.3">
      <c r="E35" s="32" t="s">
        <v>325</v>
      </c>
      <c r="F35" s="36">
        <v>295</v>
      </c>
      <c r="I35" s="32" t="s">
        <v>264</v>
      </c>
      <c r="J35" s="36">
        <v>1</v>
      </c>
    </row>
    <row r="36" spans="5:10" x14ac:dyDescent="0.3">
      <c r="I36" s="32" t="s">
        <v>60</v>
      </c>
      <c r="J36" s="36">
        <v>1</v>
      </c>
    </row>
    <row r="37" spans="5:10" x14ac:dyDescent="0.3">
      <c r="I37" s="32" t="s">
        <v>243</v>
      </c>
      <c r="J37" s="36">
        <v>1</v>
      </c>
    </row>
    <row r="38" spans="5:10" x14ac:dyDescent="0.3">
      <c r="I38" s="32" t="s">
        <v>112</v>
      </c>
      <c r="J38" s="36">
        <v>1</v>
      </c>
    </row>
    <row r="39" spans="5:10" x14ac:dyDescent="0.3">
      <c r="I39" s="32" t="s">
        <v>216</v>
      </c>
      <c r="J39" s="36">
        <v>1</v>
      </c>
    </row>
    <row r="40" spans="5:10" x14ac:dyDescent="0.3">
      <c r="I40" s="32" t="s">
        <v>97</v>
      </c>
      <c r="J40" s="36">
        <v>1</v>
      </c>
    </row>
    <row r="41" spans="5:10" x14ac:dyDescent="0.3">
      <c r="I41" s="32" t="s">
        <v>39</v>
      </c>
      <c r="J41" s="36">
        <v>12</v>
      </c>
    </row>
    <row r="42" spans="5:10" x14ac:dyDescent="0.3">
      <c r="I42" s="32" t="s">
        <v>234</v>
      </c>
      <c r="J42" s="36">
        <v>1</v>
      </c>
    </row>
    <row r="43" spans="5:10" x14ac:dyDescent="0.3">
      <c r="I43" s="32" t="s">
        <v>252</v>
      </c>
      <c r="J43" s="36">
        <v>1</v>
      </c>
    </row>
    <row r="44" spans="5:10" x14ac:dyDescent="0.3">
      <c r="I44" s="32" t="s">
        <v>69</v>
      </c>
      <c r="J44" s="36">
        <v>1</v>
      </c>
    </row>
    <row r="45" spans="5:10" x14ac:dyDescent="0.3">
      <c r="I45" s="32" t="s">
        <v>273</v>
      </c>
      <c r="J45" s="36">
        <v>1</v>
      </c>
    </row>
    <row r="46" spans="5:10" x14ac:dyDescent="0.3">
      <c r="I46" s="32" t="s">
        <v>124</v>
      </c>
      <c r="J46" s="36">
        <v>1</v>
      </c>
    </row>
    <row r="47" spans="5:10" x14ac:dyDescent="0.3">
      <c r="I47" s="32" t="s">
        <v>279</v>
      </c>
      <c r="J47" s="36">
        <v>1</v>
      </c>
    </row>
    <row r="48" spans="5:10" x14ac:dyDescent="0.3">
      <c r="I48" s="32" t="s">
        <v>121</v>
      </c>
      <c r="J48" s="36">
        <v>1</v>
      </c>
    </row>
    <row r="49" spans="1:10" x14ac:dyDescent="0.3">
      <c r="I49" s="32" t="s">
        <v>118</v>
      </c>
      <c r="J49" s="36">
        <v>1</v>
      </c>
    </row>
    <row r="50" spans="1:10" x14ac:dyDescent="0.3">
      <c r="I50" s="32" t="s">
        <v>210</v>
      </c>
      <c r="J50" s="36">
        <v>1</v>
      </c>
    </row>
    <row r="51" spans="1:10" x14ac:dyDescent="0.3">
      <c r="I51" s="32" t="s">
        <v>106</v>
      </c>
      <c r="J51" s="36">
        <v>1</v>
      </c>
    </row>
    <row r="52" spans="1:10" x14ac:dyDescent="0.3">
      <c r="I52" s="32" t="s">
        <v>222</v>
      </c>
      <c r="J52" s="36">
        <v>1</v>
      </c>
    </row>
    <row r="53" spans="1:10" x14ac:dyDescent="0.3">
      <c r="I53" s="32" t="s">
        <v>77</v>
      </c>
      <c r="J53" s="36">
        <v>1</v>
      </c>
    </row>
    <row r="54" spans="1:10" x14ac:dyDescent="0.3">
      <c r="I54" s="32" t="s">
        <v>41</v>
      </c>
      <c r="J54" s="36">
        <v>1</v>
      </c>
    </row>
    <row r="55" spans="1:10" x14ac:dyDescent="0.3">
      <c r="I55" s="32" t="s">
        <v>308</v>
      </c>
      <c r="J55" s="36">
        <v>1</v>
      </c>
    </row>
    <row r="56" spans="1:10" x14ac:dyDescent="0.3">
      <c r="I56" s="32" t="s">
        <v>258</v>
      </c>
      <c r="J56" s="36">
        <v>1</v>
      </c>
    </row>
    <row r="57" spans="1:10" x14ac:dyDescent="0.3">
      <c r="A57" s="33" t="s">
        <v>5</v>
      </c>
      <c r="B57" s="33" t="s">
        <v>338</v>
      </c>
      <c r="I57" s="32" t="s">
        <v>219</v>
      </c>
      <c r="J57" s="36">
        <v>1</v>
      </c>
    </row>
    <row r="58" spans="1:10" x14ac:dyDescent="0.3">
      <c r="A58" s="33" t="s">
        <v>336</v>
      </c>
      <c r="B58" s="33">
        <f ca="1">COUNTIFS(Student_Entry!F:F,TODAY(),
          Student_Entry!G:G,"&lt;&gt;")</f>
        <v>4</v>
      </c>
      <c r="I58" s="32" t="s">
        <v>46</v>
      </c>
      <c r="J58" s="36">
        <v>1</v>
      </c>
    </row>
    <row r="59" spans="1:10" x14ac:dyDescent="0.3">
      <c r="A59" s="33" t="s">
        <v>337</v>
      </c>
      <c r="B59" s="33">
        <f ca="1">COUNTIFS(Student_Entry!F:F,TODAY(),
          Student_Entry!H:H,"&lt;&gt;")</f>
        <v>4</v>
      </c>
      <c r="I59" s="32" t="s">
        <v>255</v>
      </c>
      <c r="J59" s="36">
        <v>1</v>
      </c>
    </row>
    <row r="60" spans="1:10" x14ac:dyDescent="0.3">
      <c r="I60" s="32" t="s">
        <v>63</v>
      </c>
      <c r="J60" s="36">
        <v>1</v>
      </c>
    </row>
    <row r="61" spans="1:10" x14ac:dyDescent="0.3">
      <c r="I61" s="32" t="s">
        <v>249</v>
      </c>
      <c r="J61" s="36">
        <v>1</v>
      </c>
    </row>
    <row r="62" spans="1:10" x14ac:dyDescent="0.3">
      <c r="I62" s="32" t="s">
        <v>240</v>
      </c>
      <c r="J62" s="36">
        <v>1</v>
      </c>
    </row>
    <row r="63" spans="1:10" x14ac:dyDescent="0.3">
      <c r="I63" s="32" t="s">
        <v>36</v>
      </c>
      <c r="J63" s="36">
        <v>1</v>
      </c>
    </row>
    <row r="64" spans="1:10" x14ac:dyDescent="0.3">
      <c r="I64" s="32" t="s">
        <v>282</v>
      </c>
      <c r="J64" s="36">
        <v>1</v>
      </c>
    </row>
    <row r="65" spans="9:10" x14ac:dyDescent="0.3">
      <c r="I65" s="32" t="s">
        <v>33</v>
      </c>
      <c r="J65" s="36">
        <v>1</v>
      </c>
    </row>
    <row r="66" spans="9:10" x14ac:dyDescent="0.3">
      <c r="I66" s="32" t="s">
        <v>91</v>
      </c>
      <c r="J66" s="36">
        <v>1</v>
      </c>
    </row>
    <row r="67" spans="9:10" x14ac:dyDescent="0.3">
      <c r="I67" s="32" t="s">
        <v>276</v>
      </c>
      <c r="J67" s="36">
        <v>1</v>
      </c>
    </row>
    <row r="68" spans="9:10" x14ac:dyDescent="0.3">
      <c r="I68" s="32" t="s">
        <v>30</v>
      </c>
      <c r="J68" s="36">
        <v>1</v>
      </c>
    </row>
    <row r="69" spans="9:10" x14ac:dyDescent="0.3">
      <c r="I69" s="32" t="s">
        <v>85</v>
      </c>
      <c r="J69" s="36">
        <v>1</v>
      </c>
    </row>
    <row r="70" spans="9:10" x14ac:dyDescent="0.3">
      <c r="I70" s="32" t="s">
        <v>302</v>
      </c>
      <c r="J70" s="36">
        <v>1</v>
      </c>
    </row>
    <row r="71" spans="9:10" x14ac:dyDescent="0.3">
      <c r="I71" s="32" t="s">
        <v>267</v>
      </c>
      <c r="J71" s="36">
        <v>1</v>
      </c>
    </row>
    <row r="72" spans="9:10" x14ac:dyDescent="0.3">
      <c r="I72" s="32" t="s">
        <v>88</v>
      </c>
      <c r="J72" s="36">
        <v>1</v>
      </c>
    </row>
    <row r="73" spans="9:10" x14ac:dyDescent="0.3">
      <c r="I73" s="32" t="s">
        <v>299</v>
      </c>
      <c r="J73" s="36">
        <v>1</v>
      </c>
    </row>
    <row r="74" spans="9:10" x14ac:dyDescent="0.3">
      <c r="I74" s="32" t="s">
        <v>231</v>
      </c>
      <c r="J74" s="36">
        <v>1</v>
      </c>
    </row>
    <row r="75" spans="9:10" x14ac:dyDescent="0.3">
      <c r="I75" s="32" t="s">
        <v>25</v>
      </c>
      <c r="J75" s="36">
        <v>27</v>
      </c>
    </row>
    <row r="76" spans="9:10" x14ac:dyDescent="0.3">
      <c r="I76" s="32" t="s">
        <v>293</v>
      </c>
      <c r="J76" s="36">
        <v>1</v>
      </c>
    </row>
    <row r="77" spans="9:10" x14ac:dyDescent="0.3">
      <c r="I77" s="32" t="s">
        <v>296</v>
      </c>
      <c r="J77" s="36">
        <v>1</v>
      </c>
    </row>
    <row r="78" spans="9:10" x14ac:dyDescent="0.3">
      <c r="I78" s="32" t="s">
        <v>100</v>
      </c>
      <c r="J78" s="36">
        <v>1</v>
      </c>
    </row>
    <row r="79" spans="9:10" x14ac:dyDescent="0.3">
      <c r="I79" s="32" t="s">
        <v>270</v>
      </c>
      <c r="J79" s="36">
        <v>1</v>
      </c>
    </row>
    <row r="80" spans="9:10" x14ac:dyDescent="0.3">
      <c r="I80" s="32" t="s">
        <v>290</v>
      </c>
      <c r="J80" s="36">
        <v>1</v>
      </c>
    </row>
    <row r="81" spans="9:10" x14ac:dyDescent="0.3">
      <c r="I81" s="32" t="s">
        <v>55</v>
      </c>
      <c r="J81" s="36">
        <v>1</v>
      </c>
    </row>
    <row r="82" spans="9:10" x14ac:dyDescent="0.3">
      <c r="I82" s="32" t="s">
        <v>52</v>
      </c>
      <c r="J82" s="36">
        <v>1</v>
      </c>
    </row>
    <row r="83" spans="9:10" x14ac:dyDescent="0.3">
      <c r="I83" s="32" t="s">
        <v>305</v>
      </c>
      <c r="J83" s="36">
        <v>1</v>
      </c>
    </row>
    <row r="84" spans="9:10" x14ac:dyDescent="0.3">
      <c r="I84" s="32" t="s">
        <v>261</v>
      </c>
      <c r="J84" s="36">
        <v>1</v>
      </c>
    </row>
    <row r="85" spans="9:10" x14ac:dyDescent="0.3">
      <c r="I85" s="32" t="s">
        <v>287</v>
      </c>
      <c r="J85" s="36">
        <v>1</v>
      </c>
    </row>
    <row r="86" spans="9:10" x14ac:dyDescent="0.3">
      <c r="I86" s="32" t="s">
        <v>103</v>
      </c>
      <c r="J86" s="36">
        <v>1</v>
      </c>
    </row>
    <row r="87" spans="9:10" x14ac:dyDescent="0.3">
      <c r="I87" s="32" t="s">
        <v>49</v>
      </c>
      <c r="J87" s="36">
        <v>1</v>
      </c>
    </row>
    <row r="88" spans="9:10" x14ac:dyDescent="0.3">
      <c r="I88" s="32" t="s">
        <v>237</v>
      </c>
      <c r="J88" s="36">
        <v>1</v>
      </c>
    </row>
    <row r="89" spans="9:10" x14ac:dyDescent="0.3">
      <c r="I89" s="32" t="s">
        <v>74</v>
      </c>
      <c r="J89" s="36">
        <v>1</v>
      </c>
    </row>
    <row r="90" spans="9:10" x14ac:dyDescent="0.3">
      <c r="I90" s="32" t="s">
        <v>213</v>
      </c>
      <c r="J90" s="36">
        <v>1</v>
      </c>
    </row>
    <row r="91" spans="9:10" x14ac:dyDescent="0.3">
      <c r="I91" s="32" t="s">
        <v>228</v>
      </c>
      <c r="J91" s="36">
        <v>1</v>
      </c>
    </row>
    <row r="92" spans="9:10" x14ac:dyDescent="0.3">
      <c r="I92" s="32" t="s">
        <v>94</v>
      </c>
      <c r="J92" s="36">
        <v>1</v>
      </c>
    </row>
    <row r="93" spans="9:10" x14ac:dyDescent="0.3">
      <c r="I93" s="32" t="s">
        <v>109</v>
      </c>
      <c r="J93" s="36">
        <v>1</v>
      </c>
    </row>
    <row r="94" spans="9:10" x14ac:dyDescent="0.3">
      <c r="I94" s="32" t="s">
        <v>115</v>
      </c>
      <c r="J94" s="36">
        <v>1</v>
      </c>
    </row>
    <row r="95" spans="9:10" x14ac:dyDescent="0.3">
      <c r="I95" s="32" t="s">
        <v>334</v>
      </c>
      <c r="J95" s="36">
        <v>9</v>
      </c>
    </row>
    <row r="96" spans="9:10" x14ac:dyDescent="0.3">
      <c r="I96" s="32" t="s">
        <v>335</v>
      </c>
      <c r="J96" s="36">
        <v>1</v>
      </c>
    </row>
    <row r="97" spans="9:10" x14ac:dyDescent="0.3">
      <c r="I97" s="32" t="s">
        <v>325</v>
      </c>
      <c r="J97" s="36">
        <v>113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79256-E88D-4911-8D00-D0C6BDC8940A}">
  <sheetPr codeName="Sheet5">
    <tabColor theme="7" tint="0.39997558519241921"/>
  </sheetPr>
  <dimension ref="A1:W63"/>
  <sheetViews>
    <sheetView showGridLines="0" showRowColHeaders="0" zoomScale="72" zoomScaleNormal="100" workbookViewId="0">
      <selection activeCell="P69" sqref="P69"/>
    </sheetView>
  </sheetViews>
  <sheetFormatPr defaultRowHeight="14.4" x14ac:dyDescent="0.3"/>
  <cols>
    <col min="1" max="1" width="16" customWidth="1"/>
    <col min="4" max="6" width="8"/>
    <col min="7" max="7" width="14.296875" bestFit="1" customWidth="1"/>
    <col min="21" max="21" width="11.796875" bestFit="1" customWidth="1"/>
    <col min="22" max="22" width="15.8984375" bestFit="1" customWidth="1"/>
  </cols>
  <sheetData>
    <row r="1" spans="1:23" x14ac:dyDescent="0.3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</row>
    <row r="2" spans="1:23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</row>
    <row r="3" spans="1:23" x14ac:dyDescent="0.3">
      <c r="A3" s="37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3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3" x14ac:dyDescent="0.3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</row>
    <row r="6" spans="1:23" x14ac:dyDescent="0.3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</row>
    <row r="7" spans="1:23" x14ac:dyDescent="0.3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</row>
    <row r="8" spans="1:23" x14ac:dyDescent="0.3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</row>
    <row r="9" spans="1:23" x14ac:dyDescent="0.3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</row>
    <row r="10" spans="1:23" x14ac:dyDescent="0.3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</row>
    <row r="11" spans="1:23" x14ac:dyDescent="0.3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</row>
    <row r="12" spans="1:23" x14ac:dyDescent="0.3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</row>
    <row r="13" spans="1:23" x14ac:dyDescent="0.3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</row>
    <row r="14" spans="1:23" x14ac:dyDescent="0.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</row>
    <row r="15" spans="1:23" x14ac:dyDescent="0.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</row>
    <row r="16" spans="1:23" x14ac:dyDescent="0.3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</row>
    <row r="17" spans="1:23" x14ac:dyDescent="0.3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</row>
    <row r="18" spans="1:23" x14ac:dyDescent="0.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</row>
    <row r="19" spans="1:23" x14ac:dyDescent="0.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</row>
    <row r="20" spans="1:23" x14ac:dyDescent="0.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</row>
    <row r="21" spans="1:23" x14ac:dyDescent="0.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</row>
    <row r="22" spans="1:23" x14ac:dyDescent="0.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</row>
    <row r="23" spans="1:23" x14ac:dyDescent="0.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</row>
    <row r="24" spans="1:23" x14ac:dyDescent="0.3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</row>
    <row r="25" spans="1:23" x14ac:dyDescent="0.3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</row>
    <row r="26" spans="1:23" x14ac:dyDescent="0.3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</row>
    <row r="27" spans="1:23" x14ac:dyDescent="0.3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</row>
    <row r="28" spans="1:23" x14ac:dyDescent="0.3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</row>
    <row r="29" spans="1:23" x14ac:dyDescent="0.3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</row>
    <row r="30" spans="1:23" x14ac:dyDescent="0.3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</row>
    <row r="31" spans="1:23" x14ac:dyDescent="0.3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</row>
    <row r="32" spans="1:23" x14ac:dyDescent="0.3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</row>
    <row r="33" spans="1:23" x14ac:dyDescent="0.3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</row>
    <row r="34" spans="1:23" x14ac:dyDescent="0.3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</row>
    <row r="35" spans="1:23" x14ac:dyDescent="0.3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</row>
    <row r="36" spans="1:23" x14ac:dyDescent="0.3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</row>
    <row r="37" spans="1:23" x14ac:dyDescent="0.3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</row>
    <row r="38" spans="1:23" x14ac:dyDescent="0.3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</row>
    <row r="39" spans="1:23" x14ac:dyDescent="0.3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</row>
    <row r="40" spans="1:23" x14ac:dyDescent="0.3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</row>
    <row r="41" spans="1:23" x14ac:dyDescent="0.3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</row>
    <row r="42" spans="1:23" x14ac:dyDescent="0.3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</row>
    <row r="43" spans="1:23" x14ac:dyDescent="0.3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</row>
    <row r="56" spans="1:2" x14ac:dyDescent="0.3">
      <c r="A56" t="s">
        <v>317</v>
      </c>
      <c r="B56" s="1">
        <f>COUNTA(Student_Data!A:A)-1</f>
        <v>113</v>
      </c>
    </row>
    <row r="57" spans="1:2" x14ac:dyDescent="0.3">
      <c r="A57" t="s">
        <v>316</v>
      </c>
      <c r="B57">
        <f ca="1">COUNTIFS(Student_Entry!F:F,TODAY(),
          Student_Entry!G:G,"&lt;&gt;")</f>
        <v>4</v>
      </c>
    </row>
    <row r="58" spans="1:2" x14ac:dyDescent="0.3">
      <c r="A58" t="s">
        <v>315</v>
      </c>
      <c r="B58">
        <f ca="1">COUNTIFS(Student_Entry!F:F,TODAY(),
          Student_Entry!H:H,"&lt;&gt;")</f>
        <v>4</v>
      </c>
    </row>
    <row r="59" spans="1:2" x14ac:dyDescent="0.3">
      <c r="A59" t="s">
        <v>314</v>
      </c>
      <c r="B59">
        <f ca="1">SUM(B57:B58)</f>
        <v>8</v>
      </c>
    </row>
    <row r="60" spans="1:2" x14ac:dyDescent="0.3">
      <c r="A60" t="s">
        <v>313</v>
      </c>
      <c r="B60">
        <f>COUNTA(Settings!D2:D100)</f>
        <v>11</v>
      </c>
    </row>
    <row r="61" spans="1:2" x14ac:dyDescent="0.3">
      <c r="A61" t="s">
        <v>312</v>
      </c>
      <c r="B61" t="str">
        <f ca="1">TEXT(NOW(),"dd-mmm-yyyy hh:mm AM/PM")</f>
        <v>05-Jul-2026 12:53 PM</v>
      </c>
    </row>
    <row r="62" spans="1:2" x14ac:dyDescent="0.3">
      <c r="A62" t="s">
        <v>319</v>
      </c>
      <c r="B62" t="str">
        <f ca="1">TEXT(TODAY(),"dd-mmm-yyyy dddd")</f>
        <v>05-Jul-2026 Sunday</v>
      </c>
    </row>
    <row r="63" spans="1:2" x14ac:dyDescent="0.3">
      <c r="A63" t="s">
        <v>318</v>
      </c>
      <c r="B63" t="str">
        <f ca="1">TEXT(NOW(),"hh:mm AM/PM")</f>
        <v>12:53 PM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Settings</vt:lpstr>
      <vt:lpstr>Home</vt:lpstr>
      <vt:lpstr>Student_Data</vt:lpstr>
      <vt:lpstr>Student_Entry</vt:lpstr>
      <vt:lpstr>Pivot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sangle</dc:creator>
  <cp:lastModifiedBy>ankit sangle</cp:lastModifiedBy>
  <dcterms:created xsi:type="dcterms:W3CDTF">2026-06-06T07:01:22Z</dcterms:created>
  <dcterms:modified xsi:type="dcterms:W3CDTF">2026-07-05T07:23:59Z</dcterms:modified>
</cp:coreProperties>
</file>