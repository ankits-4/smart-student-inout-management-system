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f8336515d4bc593c/Desktop/Student_IO_system/"/>
    </mc:Choice>
  </mc:AlternateContent>
  <xr:revisionPtr revIDLastSave="3" documentId="13_ncr:1_{5633B4F8-6C6D-4E6E-8A4B-9B3D237EB336}" xr6:coauthVersionLast="47" xr6:coauthVersionMax="47" xr10:uidLastSave="{618A3578-A169-452B-A9FF-30E3B5707914}"/>
  <bookViews>
    <workbookView xWindow="-108" yWindow="-108" windowWidth="23256" windowHeight="13176" tabRatio="593" activeTab="2" xr2:uid="{2F8A8668-12ED-4DE8-9699-47D93A5CB942}"/>
  </bookViews>
  <sheets>
    <sheet name="Settings" sheetId="1" r:id="rId1"/>
    <sheet name="Home" sheetId="4" r:id="rId2"/>
    <sheet name="Dashboard" sheetId="5" r:id="rId3"/>
    <sheet name="Pivot" sheetId="6" r:id="rId4"/>
    <sheet name="Student_Data" sheetId="3" r:id="rId5"/>
    <sheet name="Student_Entry" sheetId="2" r:id="rId6"/>
  </sheets>
  <functionGroups builtInGroupCount="19"/>
  <definedNames>
    <definedName name="_xlnm._FilterDatabase" localSheetId="4" hidden="1">Student_Data!$A$1:$F$37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/>
  <c r="B4" i="5"/>
  <c r="B2" i="5"/>
  <c r="B5" i="5" l="1"/>
</calcChain>
</file>

<file path=xl/sharedStrings.xml><?xml version="1.0" encoding="utf-8"?>
<sst xmlns="http://schemas.openxmlformats.org/spreadsheetml/2006/main" count="864" uniqueCount="321">
  <si>
    <t>Student_ID</t>
  </si>
  <si>
    <t>Name</t>
  </si>
  <si>
    <t>Mobile</t>
  </si>
  <si>
    <t>Course</t>
  </si>
  <si>
    <t>Address</t>
  </si>
  <si>
    <t>Status</t>
  </si>
  <si>
    <t>SrNo</t>
  </si>
  <si>
    <t>Date</t>
  </si>
  <si>
    <t>In_Time</t>
  </si>
  <si>
    <t>Out_Time</t>
  </si>
  <si>
    <t>LastStudentID</t>
  </si>
  <si>
    <t>Course List</t>
  </si>
  <si>
    <t>AUTOMOTIVE CAD TECHNICIAN</t>
  </si>
  <si>
    <t>AUTOMOTIVE ASSEMBLY TECHNICIAN</t>
  </si>
  <si>
    <t>ELECTRIC VEHICLE PRODUCT DESIGN ENGINEER</t>
  </si>
  <si>
    <t>ASSEMBLY OPERATOR - RAC</t>
  </si>
  <si>
    <t>CLOUD APPLICATION DEVELOPER</t>
  </si>
  <si>
    <t>ANALYST END POINT SECURITY CYBERSECURITY</t>
  </si>
  <si>
    <t>ANALYST COMPLIANCE AUDIT- CYBERSECURITY</t>
  </si>
  <si>
    <t>IOT - NETWORK SPECIALIST</t>
  </si>
  <si>
    <t>IOT - DOMAIN SPECIALIST</t>
  </si>
  <si>
    <t>AI MACHINE LEARNING ENGINEER</t>
  </si>
  <si>
    <t>AI - BUSINESS INTELLIGENCE ANALYSIS</t>
  </si>
  <si>
    <t>Total Students</t>
  </si>
  <si>
    <t>Today's IN Count</t>
  </si>
  <si>
    <t>Today's OUT Count</t>
  </si>
  <si>
    <t>Today's Total Entry's</t>
  </si>
  <si>
    <t>ST1006</t>
  </si>
  <si>
    <t>Aarav Rajesh Sharma</t>
  </si>
  <si>
    <t>Pune, Maharashtra</t>
  </si>
  <si>
    <t>OUT</t>
  </si>
  <si>
    <t>ST1001</t>
  </si>
  <si>
    <t>ST1002</t>
  </si>
  <si>
    <t>Ananya Sunil Patil</t>
  </si>
  <si>
    <t>Nashik, Maharashtra</t>
  </si>
  <si>
    <t>ST1003</t>
  </si>
  <si>
    <t>Vivaan Sanjay Gupta</t>
  </si>
  <si>
    <t>Nagpur, Maharashtra</t>
  </si>
  <si>
    <t>ST1004</t>
  </si>
  <si>
    <t>Diya Mahesh Joshi</t>
  </si>
  <si>
    <t>Mumbai, Maharashtra</t>
  </si>
  <si>
    <t>ST1005</t>
  </si>
  <si>
    <t>Aditya Prakash Kulkarni</t>
  </si>
  <si>
    <t>Chhatrapati Sambhajinagar, Maharashtra</t>
  </si>
  <si>
    <t>Isha Vijay Deshmukh</t>
  </si>
  <si>
    <t>Jalna, Maharashtra</t>
  </si>
  <si>
    <t>ST1007</t>
  </si>
  <si>
    <t>Arjun Rakesh Mehta</t>
  </si>
  <si>
    <t>ST1008</t>
  </si>
  <si>
    <t>Kavya Manoj Singh</t>
  </si>
  <si>
    <t>Kolhapur, Maharashtra</t>
  </si>
  <si>
    <t>ST1009</t>
  </si>
  <si>
    <t>Rohan Suresh Nair</t>
  </si>
  <si>
    <t>Solapur, Maharashtra</t>
  </si>
  <si>
    <t>ST1010</t>
  </si>
  <si>
    <t>Sneha Dinesh Verma</t>
  </si>
  <si>
    <t>Satara, Maharashtra</t>
  </si>
  <si>
    <t>ST1011</t>
  </si>
  <si>
    <t>Karan Ashok Chavan</t>
  </si>
  <si>
    <t>Sangli, Maharashtra</t>
  </si>
  <si>
    <t>ST1012</t>
  </si>
  <si>
    <t>Priya Ramesh Yadav</t>
  </si>
  <si>
    <t>Ahmednagar, Maharashtra</t>
  </si>
  <si>
    <t>ST1013</t>
  </si>
  <si>
    <t>Rahul Dilip More</t>
  </si>
  <si>
    <t>Beed, Maharashtra</t>
  </si>
  <si>
    <t>ST1014</t>
  </si>
  <si>
    <t>Neha Anil Mishra</t>
  </si>
  <si>
    <t>Latur, Maharashtra</t>
  </si>
  <si>
    <t>ST1015</t>
  </si>
  <si>
    <t>Siddharth Mukesh Jain</t>
  </si>
  <si>
    <t>Akola, Maharashtra</t>
  </si>
  <si>
    <t>ST1016</t>
  </si>
  <si>
    <t>Pooja Shrikant Pawar</t>
  </si>
  <si>
    <t>Dharashiv, Maharashtra</t>
  </si>
  <si>
    <t>ST1017</t>
  </si>
  <si>
    <t>Akash Chandrakant Shinde</t>
  </si>
  <si>
    <t>ST1018</t>
  </si>
  <si>
    <t>Riya Amit Kapoor</t>
  </si>
  <si>
    <t>Thane, Maharashtra</t>
  </si>
  <si>
    <t>ST1019</t>
  </si>
  <si>
    <t>Nikhil Vinod Bhosale</t>
  </si>
  <si>
    <t>Jalgaon, Maharashtra</t>
  </si>
  <si>
    <t>ST1020</t>
  </si>
  <si>
    <t>Aditi Milind Kulkarni</t>
  </si>
  <si>
    <t>Amravati, Maharashtra</t>
  </si>
  <si>
    <t>ST1021</t>
  </si>
  <si>
    <t>Yash Ganesh Patil</t>
  </si>
  <si>
    <t>ST1022</t>
  </si>
  <si>
    <t>Meera Krishnan Iyer</t>
  </si>
  <si>
    <t>Navi Mumbai, Maharashtra</t>
  </si>
  <si>
    <t>ST1023</t>
  </si>
  <si>
    <t>Omkar Shashikant Jadhav</t>
  </si>
  <si>
    <t>Parbhani, Maharashtra</t>
  </si>
  <si>
    <t>ST1024</t>
  </si>
  <si>
    <t>Shruti Ravindra Naik</t>
  </si>
  <si>
    <t>Nanded, Maharashtra</t>
  </si>
  <si>
    <t>ST1025</t>
  </si>
  <si>
    <t>Harsh Deepak Agrawal</t>
  </si>
  <si>
    <t>Wardha, Maharashtra</t>
  </si>
  <si>
    <t>ST1026</t>
  </si>
  <si>
    <t>Sanika Uday Gokhale</t>
  </si>
  <si>
    <t>Chandrapur, Maharashtra</t>
  </si>
  <si>
    <t>ST1027</t>
  </si>
  <si>
    <t>Atharva Baban Salunkhe</t>
  </si>
  <si>
    <t>Ratnagiri, Maharashtra</t>
  </si>
  <si>
    <t>ST1028</t>
  </si>
  <si>
    <t>Tanvi Pravin Bendre</t>
  </si>
  <si>
    <t>Sindhudurg, Maharashtra</t>
  </si>
  <si>
    <t>ST1029</t>
  </si>
  <si>
    <t>Devendra Haribhau Kale</t>
  </si>
  <si>
    <t>Hingoli, Maharashtra</t>
  </si>
  <si>
    <t>ST1030</t>
  </si>
  <si>
    <t>Sakshi Narendra Thakur</t>
  </si>
  <si>
    <t>Washim, Maharashtra</t>
  </si>
  <si>
    <t>ST1031</t>
  </si>
  <si>
    <t>Pranav Santosh Raut</t>
  </si>
  <si>
    <t>Buldhana, Maharashtra</t>
  </si>
  <si>
    <t>ST1032</t>
  </si>
  <si>
    <t>Mansi Rajendra Choudhary</t>
  </si>
  <si>
    <t xml:space="preserve">Yavatmal, Maharashtra </t>
  </si>
  <si>
    <t>ST1033</t>
  </si>
  <si>
    <t>Tushar Subhash Khedekar</t>
  </si>
  <si>
    <t>Gondia, Maharashtra</t>
  </si>
  <si>
    <t>ST1034</t>
  </si>
  <si>
    <t>Nandini Srinivas Rao</t>
  </si>
  <si>
    <t>Gadchiroli, Maharashtra</t>
  </si>
  <si>
    <t>ST1035</t>
  </si>
  <si>
    <t>Abhishek Omprakash Tiwari</t>
  </si>
  <si>
    <t>Dhule, Maharashtra</t>
  </si>
  <si>
    <t>ST1036</t>
  </si>
  <si>
    <t>Muskan Imran Sheikh</t>
  </si>
  <si>
    <t>ST1037</t>
  </si>
  <si>
    <t>Rohit Sunil Jagtap</t>
  </si>
  <si>
    <t>ST1038</t>
  </si>
  <si>
    <t>Vaishnavi Prakash Pawar</t>
  </si>
  <si>
    <t>Ahilya Nagar, Maharashtra</t>
  </si>
  <si>
    <t>ST1039</t>
  </si>
  <si>
    <t>Saurabh Mahadev Shinde</t>
  </si>
  <si>
    <t>ST1040</t>
  </si>
  <si>
    <t>Snehal Vijay More</t>
  </si>
  <si>
    <t>ST1041</t>
  </si>
  <si>
    <t>Omkar Dnyaneshwar Bhosale</t>
  </si>
  <si>
    <t>ST1042</t>
  </si>
  <si>
    <t>Pooja Ashok Kale</t>
  </si>
  <si>
    <t>ST1043</t>
  </si>
  <si>
    <t>Tejas Shrikant Patil</t>
  </si>
  <si>
    <t>ST1044</t>
  </si>
  <si>
    <t>Aishwarya Ramesh Chavan</t>
  </si>
  <si>
    <t>ST1045</t>
  </si>
  <si>
    <t>Nilesh Anil Ghadge</t>
  </si>
  <si>
    <t>ST1046</t>
  </si>
  <si>
    <t>Prajakta Santosh Kadam</t>
  </si>
  <si>
    <t>ST1047</t>
  </si>
  <si>
    <t>Shubham Rajendra Gaikwad</t>
  </si>
  <si>
    <t>ST1048</t>
  </si>
  <si>
    <t>Komal Suresh Wagh</t>
  </si>
  <si>
    <t>ST1049</t>
  </si>
  <si>
    <t>Abhijit Dilip Thorat</t>
  </si>
  <si>
    <t>ST1050</t>
  </si>
  <si>
    <t>Rutuja Milind Jadhav</t>
  </si>
  <si>
    <t>ST1051</t>
  </si>
  <si>
    <t>Harshal Chandrakant Salve</t>
  </si>
  <si>
    <t>ST1052</t>
  </si>
  <si>
    <t>Sakshi Vinod Shingare</t>
  </si>
  <si>
    <t>ST1053</t>
  </si>
  <si>
    <t>Ganesh Baban Dhumal</t>
  </si>
  <si>
    <t>ST1054</t>
  </si>
  <si>
    <t>Nikita Subhash Bhise</t>
  </si>
  <si>
    <t>ST1055</t>
  </si>
  <si>
    <t>Amol Pandurang Kharat</t>
  </si>
  <si>
    <t>ST1056</t>
  </si>
  <si>
    <t>Shraddha Sharad Gorde</t>
  </si>
  <si>
    <t>ST1057</t>
  </si>
  <si>
    <t>Pratik Shivaji Tupe</t>
  </si>
  <si>
    <t>ST1058</t>
  </si>
  <si>
    <t>Minal Ravindra Doke</t>
  </si>
  <si>
    <t>ST1059</t>
  </si>
  <si>
    <t>Vishal Pravin Kokate</t>
  </si>
  <si>
    <t>ST1060</t>
  </si>
  <si>
    <t>Neha Kishor Dhage</t>
  </si>
  <si>
    <t>ST1061</t>
  </si>
  <si>
    <t>Akshay Dattatraya Borude</t>
  </si>
  <si>
    <t>ST1062</t>
  </si>
  <si>
    <t>Priti Balasaheb Nagare</t>
  </si>
  <si>
    <t>ST1063</t>
  </si>
  <si>
    <t>Chetan Hanuman Gawali</t>
  </si>
  <si>
    <t>ST1064</t>
  </si>
  <si>
    <t>Sonali Vilas Shelke</t>
  </si>
  <si>
    <t>ST1065</t>
  </si>
  <si>
    <t>Swapnil Sopan Raut</t>
  </si>
  <si>
    <t>ST1066</t>
  </si>
  <si>
    <t>Bhagyashree Eknath Pansare</t>
  </si>
  <si>
    <t>ST1067</t>
  </si>
  <si>
    <t>Kunal Bharat Pawale</t>
  </si>
  <si>
    <t>ST1068</t>
  </si>
  <si>
    <t>Monika Nitin Kute</t>
  </si>
  <si>
    <t>ST1069</t>
  </si>
  <si>
    <t>Yogesh Tukaram Dhavale</t>
  </si>
  <si>
    <t>ST1070</t>
  </si>
  <si>
    <t>Reshma Arun Kolhe</t>
  </si>
  <si>
    <t>ST1071</t>
  </si>
  <si>
    <t>Aditya Ashok Londhe</t>
  </si>
  <si>
    <t>ST1072</t>
  </si>
  <si>
    <t>Ruchita Mahendra Jare</t>
  </si>
  <si>
    <t>ST1073</t>
  </si>
  <si>
    <t>Sanket Vijay Ghule</t>
  </si>
  <si>
    <t>ST1074</t>
  </si>
  <si>
    <t>Shweta Sanjay Shelar</t>
  </si>
  <si>
    <t>ST1075</t>
  </si>
  <si>
    <t>Ajinkya Narayan Wankhede</t>
  </si>
  <si>
    <t>ST1076</t>
  </si>
  <si>
    <t>Pooja Dnyaneshwar Karale</t>
  </si>
  <si>
    <t>ST1077</t>
  </si>
  <si>
    <t>Prathamesh Dnyaneshwar Jadhav</t>
  </si>
  <si>
    <t>Hadapsar, Pune</t>
  </si>
  <si>
    <t>ST1078</t>
  </si>
  <si>
    <t>Vaishnavi Ashok Pawar</t>
  </si>
  <si>
    <t>Wagholi, Pune</t>
  </si>
  <si>
    <t>ST1079</t>
  </si>
  <si>
    <t>Omkar Rajendra Kale</t>
  </si>
  <si>
    <t>Chakan, Pune</t>
  </si>
  <si>
    <t>ST1080</t>
  </si>
  <si>
    <t>Snehal Sunil Ghadge</t>
  </si>
  <si>
    <t>Kharadi, Pune</t>
  </si>
  <si>
    <t>ST1081</t>
  </si>
  <si>
    <t>Tejas Vilas Shinde</t>
  </si>
  <si>
    <t>Hinjawadi, Pune</t>
  </si>
  <si>
    <t>ST1082</t>
  </si>
  <si>
    <t>Aditi Prakash More</t>
  </si>
  <si>
    <t>Baner, Pune</t>
  </si>
  <si>
    <t>ST1083</t>
  </si>
  <si>
    <t>Sanket Dattatraya Chavan</t>
  </si>
  <si>
    <t>Wakad, Pune</t>
  </si>
  <si>
    <t>ST1084</t>
  </si>
  <si>
    <t>Rutuja Mahendra Gaikwad</t>
  </si>
  <si>
    <t>Pimpri, Pune</t>
  </si>
  <si>
    <t>ST1085</t>
  </si>
  <si>
    <t>Akshay Ravindra Bhosale</t>
  </si>
  <si>
    <t>Chinchwad, Pune</t>
  </si>
  <si>
    <t>ST1086</t>
  </si>
  <si>
    <t>Komal Sanjay Kharat</t>
  </si>
  <si>
    <t>Talegaon, Pune</t>
  </si>
  <si>
    <t>ST1087</t>
  </si>
  <si>
    <t>Rohit Shrikant Wagh</t>
  </si>
  <si>
    <t>Moshi, Pune</t>
  </si>
  <si>
    <t>ST1088</t>
  </si>
  <si>
    <t>Pooja Vijay Dhumal</t>
  </si>
  <si>
    <t>Bhosari, Pune</t>
  </si>
  <si>
    <t>ST1089</t>
  </si>
  <si>
    <t>Nikhil Ashok Thorat</t>
  </si>
  <si>
    <t>Alandi, Pune</t>
  </si>
  <si>
    <t>ST1090</t>
  </si>
  <si>
    <t>Mansi Santosh Gawali</t>
  </si>
  <si>
    <t>Lohegaon, Pune</t>
  </si>
  <si>
    <t>ST1091</t>
  </si>
  <si>
    <t>Aditya Chandrakant Salunkhe</t>
  </si>
  <si>
    <t>Dhanori, Pune</t>
  </si>
  <si>
    <t>ST1092</t>
  </si>
  <si>
    <t>Sakshi Ganesh Jare</t>
  </si>
  <si>
    <t>Kondhwa, Pune</t>
  </si>
  <si>
    <t>ST1093</t>
  </si>
  <si>
    <t>Harshal Pandurang Tupe</t>
  </si>
  <si>
    <t>Katraj, Pune</t>
  </si>
  <si>
    <t>ST1094</t>
  </si>
  <si>
    <t>Nikita Suresh Shelke</t>
  </si>
  <si>
    <t>Shivajinagar, Pune</t>
  </si>
  <si>
    <t>ST1095</t>
  </si>
  <si>
    <t>Yogesh Pravin Dhage</t>
  </si>
  <si>
    <t>Bavdhan, Pune</t>
  </si>
  <si>
    <t>ST1096</t>
  </si>
  <si>
    <t>Reshma Balasaheb Kute</t>
  </si>
  <si>
    <t>Nigdi, Pune</t>
  </si>
  <si>
    <t>ST1097</t>
  </si>
  <si>
    <t>Shubham Bharat Kokate</t>
  </si>
  <si>
    <t>Ravet, Pune</t>
  </si>
  <si>
    <t>ST1098</t>
  </si>
  <si>
    <t>Sonali Arun Borude</t>
  </si>
  <si>
    <t>Dhayari, Pune</t>
  </si>
  <si>
    <t>ST1099</t>
  </si>
  <si>
    <t>Chetan Kishor Ghule</t>
  </si>
  <si>
    <t>Narhe, Pune</t>
  </si>
  <si>
    <t>ST1100</t>
  </si>
  <si>
    <t>Monika Nitin Karale</t>
  </si>
  <si>
    <t>Fursungi, Pune</t>
  </si>
  <si>
    <t>ST1101</t>
  </si>
  <si>
    <t>Ganesh Eknath Pawale</t>
  </si>
  <si>
    <t>Mundhwa, Pune</t>
  </si>
  <si>
    <t>ST1102</t>
  </si>
  <si>
    <t>Shraddha Tukaram Kolhe</t>
  </si>
  <si>
    <t>Ahilya Nagar City</t>
  </si>
  <si>
    <t>ST1103</t>
  </si>
  <si>
    <t>Vishal Sharad Nagare</t>
  </si>
  <si>
    <t>Shrirampur</t>
  </si>
  <si>
    <t>ST1104</t>
  </si>
  <si>
    <t>Prajakta Baban Doke</t>
  </si>
  <si>
    <t>Sangamner</t>
  </si>
  <si>
    <t>ST1105</t>
  </si>
  <si>
    <t>Amol Shivaji Dhavale</t>
  </si>
  <si>
    <t>Rahata</t>
  </si>
  <si>
    <t>ST1106</t>
  </si>
  <si>
    <t>Sanika Haribhau Khedkar</t>
  </si>
  <si>
    <t>Rahuri</t>
  </si>
  <si>
    <t>ST1107</t>
  </si>
  <si>
    <t>Devendra Ramesh Pansare</t>
  </si>
  <si>
    <t>Pathardi</t>
  </si>
  <si>
    <t>ST1108</t>
  </si>
  <si>
    <t>Bhagyashree Vinod Bhise</t>
  </si>
  <si>
    <t>Nevasa</t>
  </si>
  <si>
    <t>ST1109</t>
  </si>
  <si>
    <t>Tushar Milind Londhe</t>
  </si>
  <si>
    <t>Shevgaon</t>
  </si>
  <si>
    <t>ST1110</t>
  </si>
  <si>
    <t>Neha Shashikant Gorde</t>
  </si>
  <si>
    <t>Jamkhed</t>
  </si>
  <si>
    <t>ST1111</t>
  </si>
  <si>
    <t>Kunal Dnyaneshwar Raut</t>
  </si>
  <si>
    <t>Karjat, Ahilya Nagar</t>
  </si>
  <si>
    <t>Row Labels</t>
  </si>
  <si>
    <t>Grand Total</t>
  </si>
  <si>
    <t>Count of Student_ID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</si>
</sst>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009]dd/mm/yyyy;@"/>
    <numFmt numFmtId="165" formatCode="[$-10409]hh\.mm\ AM/PM;@"/>
  </numFmts>
  <fonts count="9" x14ac:knownFonts="1">
    <font>
      <sz val="11"/>
      <color theme="1"/>
      <name val="Candara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Tahoma"/>
      <family val="2"/>
    </font>
    <font>
      <b/>
      <sz val="11"/>
      <color theme="1"/>
      <name val="Times New Roman"/>
      <family val="1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164" fontId="2" fillId="0" borderId="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435EB"/>
      <color rgb="FF75C4E7"/>
      <color rgb="FF9900CC"/>
      <color rgb="FF0CE7F2"/>
      <color rgb="FF0F4259"/>
      <color rgb="FF062542"/>
      <color rgb="FF45C2E9"/>
      <color rgb="FF0EA7EC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sv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image" Target="../media/image17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5" Type="http://schemas.openxmlformats.org/officeDocument/2006/relationships/image" Target="../media/image1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3826</xdr:colOff>
      <xdr:row>0</xdr:row>
      <xdr:rowOff>2513</xdr:rowOff>
    </xdr:from>
    <xdr:to>
      <xdr:col>40</xdr:col>
      <xdr:colOff>3826</xdr:colOff>
      <xdr:row>62</xdr:row>
      <xdr:rowOff>2513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6D2B6AA2-A063-822F-A99E-9DA2BE3E88E4}"/>
            </a:ext>
          </a:extLst>
        </xdr:cNvPr>
        <xdr:cNvSpPr/>
      </xdr:nvSpPr>
      <xdr:spPr>
        <a:xfrm>
          <a:off x="3826" y="2513"/>
          <a:ext cx="24355063" cy="11362481"/>
        </a:xfrm>
        <a:prstGeom prst="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23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-28225</xdr:colOff>
      <xdr:row>0</xdr:row>
      <xdr:rowOff>0</xdr:rowOff>
    </xdr:from>
    <xdr:to>
      <xdr:col>38</xdr:col>
      <xdr:colOff>250366</xdr:colOff>
      <xdr:row>58</xdr:row>
      <xdr:rowOff>36114</xdr:rowOff>
    </xdr:to>
    <xdr:sp macro="" textlink="">
      <xdr:nvSpPr>
        <xdr:cNvPr id="28" name="Right Triangle 27">
          <a:extLst>
            <a:ext uri="{FF2B5EF4-FFF2-40B4-BE49-F238E27FC236}">
              <a16:creationId xmlns:a16="http://schemas.microsoft.com/office/drawing/2014/main" id="{401625E2-5C97-4CE9-6933-E6F6CA7BE0B8}"/>
            </a:ext>
          </a:extLst>
        </xdr:cNvPr>
        <xdr:cNvSpPr/>
      </xdr:nvSpPr>
      <xdr:spPr>
        <a:xfrm rot="5400000">
          <a:off x="6171292" y="-6199517"/>
          <a:ext cx="10828161" cy="23227196"/>
        </a:xfrm>
        <a:custGeom>
          <a:avLst/>
          <a:gdLst>
            <a:gd name="csX0" fmla="*/ 0 w 3521529"/>
            <a:gd name="csY0" fmla="*/ 5023757 h 5023757"/>
            <a:gd name="csX1" fmla="*/ 0 w 3521529"/>
            <a:gd name="csY1" fmla="*/ 0 h 5023757"/>
            <a:gd name="csX2" fmla="*/ 3521529 w 3521529"/>
            <a:gd name="csY2" fmla="*/ 5023757 h 5023757"/>
            <a:gd name="csX3" fmla="*/ 0 w 3521529"/>
            <a:gd name="csY3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3521529 w 3521529"/>
            <a:gd name="csY3" fmla="*/ 5023757 h 5023757"/>
            <a:gd name="csX4" fmla="*/ 0 w 3521529"/>
            <a:gd name="csY4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2639787 w 3521529"/>
            <a:gd name="csY3" fmla="*/ 3592284 h 5023757"/>
            <a:gd name="csX4" fmla="*/ 3521529 w 3521529"/>
            <a:gd name="csY4" fmla="*/ 5023757 h 5023757"/>
            <a:gd name="csX5" fmla="*/ 0 w 3521529"/>
            <a:gd name="csY5" fmla="*/ 5023757 h 5023757"/>
            <a:gd name="csX0" fmla="*/ 0 w 3521529"/>
            <a:gd name="csY0" fmla="*/ 5192406 h 5192406"/>
            <a:gd name="csX1" fmla="*/ 0 w 3521529"/>
            <a:gd name="csY1" fmla="*/ 168649 h 5192406"/>
            <a:gd name="csX2" fmla="*/ 767444 w 3521529"/>
            <a:gd name="csY2" fmla="*/ 1311648 h 5192406"/>
            <a:gd name="csX3" fmla="*/ 1387930 w 3521529"/>
            <a:gd name="csY3" fmla="*/ 2443762 h 5192406"/>
            <a:gd name="csX4" fmla="*/ 2639787 w 3521529"/>
            <a:gd name="csY4" fmla="*/ 3760933 h 5192406"/>
            <a:gd name="csX5" fmla="*/ 3521529 w 3521529"/>
            <a:gd name="csY5" fmla="*/ 5192406 h 5192406"/>
            <a:gd name="csX6" fmla="*/ 0 w 3521529"/>
            <a:gd name="csY6" fmla="*/ 5192406 h 5192406"/>
            <a:gd name="csX0" fmla="*/ 0 w 3521529"/>
            <a:gd name="csY0" fmla="*/ 5160498 h 5160498"/>
            <a:gd name="csX1" fmla="*/ 0 w 3521529"/>
            <a:gd name="csY1" fmla="*/ 136741 h 5160498"/>
            <a:gd name="csX2" fmla="*/ 615047 w 3521529"/>
            <a:gd name="csY2" fmla="*/ 1726054 h 5160498"/>
            <a:gd name="csX3" fmla="*/ 1387930 w 3521529"/>
            <a:gd name="csY3" fmla="*/ 2411854 h 5160498"/>
            <a:gd name="csX4" fmla="*/ 2639787 w 3521529"/>
            <a:gd name="csY4" fmla="*/ 3729025 h 5160498"/>
            <a:gd name="csX5" fmla="*/ 3521529 w 3521529"/>
            <a:gd name="csY5" fmla="*/ 5160498 h 5160498"/>
            <a:gd name="csX6" fmla="*/ 0 w 3521529"/>
            <a:gd name="csY6" fmla="*/ 5160498 h 5160498"/>
            <a:gd name="csX0" fmla="*/ 0 w 3521529"/>
            <a:gd name="csY0" fmla="*/ 5159901 h 5159901"/>
            <a:gd name="csX1" fmla="*/ 0 w 3521529"/>
            <a:gd name="csY1" fmla="*/ 136144 h 5159901"/>
            <a:gd name="csX2" fmla="*/ 615047 w 3521529"/>
            <a:gd name="csY2" fmla="*/ 1725457 h 5159901"/>
            <a:gd name="csX3" fmla="*/ 1387930 w 3521529"/>
            <a:gd name="csY3" fmla="*/ 2411257 h 5159901"/>
            <a:gd name="csX4" fmla="*/ 2639787 w 3521529"/>
            <a:gd name="csY4" fmla="*/ 3728428 h 5159901"/>
            <a:gd name="csX5" fmla="*/ 3521529 w 3521529"/>
            <a:gd name="csY5" fmla="*/ 5159901 h 5159901"/>
            <a:gd name="csX6" fmla="*/ 0 w 3521529"/>
            <a:gd name="csY6" fmla="*/ 5159901 h 515990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3249387 w 3521529"/>
            <a:gd name="csY4" fmla="*/ 42697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72210 h 5172210"/>
            <a:gd name="csX1" fmla="*/ 0 w 3521529"/>
            <a:gd name="csY1" fmla="*/ 148453 h 5172210"/>
            <a:gd name="csX2" fmla="*/ 713020 w 3521529"/>
            <a:gd name="csY2" fmla="*/ 1541823 h 5172210"/>
            <a:gd name="csX3" fmla="*/ 2204359 w 3521529"/>
            <a:gd name="csY3" fmla="*/ 2673937 h 5172210"/>
            <a:gd name="csX4" fmla="*/ 3249387 w 3521529"/>
            <a:gd name="csY4" fmla="*/ 4274137 h 5172210"/>
            <a:gd name="csX5" fmla="*/ 3521529 w 3521529"/>
            <a:gd name="csY5" fmla="*/ 5172210 h 5172210"/>
            <a:gd name="csX6" fmla="*/ 0 w 3521529"/>
            <a:gd name="csY6" fmla="*/ 5172210 h 5172210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249387 w 4033160"/>
            <a:gd name="csY4" fmla="*/ 4274137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2781307 w 4033160"/>
            <a:gd name="csY4" fmla="*/ 4557165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58656 h 5191313"/>
            <a:gd name="csX1" fmla="*/ 0 w 4033160"/>
            <a:gd name="csY1" fmla="*/ 134899 h 5191313"/>
            <a:gd name="csX2" fmla="*/ 713023 w 4033160"/>
            <a:gd name="csY2" fmla="*/ 1745983 h 5191313"/>
            <a:gd name="csX3" fmla="*/ 2204359 w 4033160"/>
            <a:gd name="csY3" fmla="*/ 2660383 h 5191313"/>
            <a:gd name="csX4" fmla="*/ 2781307 w 4033160"/>
            <a:gd name="csY4" fmla="*/ 4543611 h 5191313"/>
            <a:gd name="csX5" fmla="*/ 4033160 w 4033160"/>
            <a:gd name="csY5" fmla="*/ 5191313 h 5191313"/>
            <a:gd name="csX6" fmla="*/ 0 w 4033160"/>
            <a:gd name="csY6" fmla="*/ 5158656 h 519131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781307 w 4033160"/>
            <a:gd name="csY4" fmla="*/ 4781131 h 5428833"/>
            <a:gd name="csX5" fmla="*/ 4033160 w 4033160"/>
            <a:gd name="csY5" fmla="*/ 5428833 h 5428833"/>
            <a:gd name="csX6" fmla="*/ 0 w 4033160"/>
            <a:gd name="csY6" fmla="*/ 5396176 h 542883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302333 w 4033160"/>
            <a:gd name="csY4" fmla="*/ 4117104 h 5428833"/>
            <a:gd name="csX5" fmla="*/ 2781307 w 4033160"/>
            <a:gd name="csY5" fmla="*/ 4781131 h 5428833"/>
            <a:gd name="csX6" fmla="*/ 4033160 w 4033160"/>
            <a:gd name="csY6" fmla="*/ 5428833 h 5428833"/>
            <a:gd name="csX7" fmla="*/ 0 w 4033160"/>
            <a:gd name="csY7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2204359 w 4181922"/>
            <a:gd name="csY3" fmla="*/ 2897903 h 5428833"/>
            <a:gd name="csX4" fmla="*/ 2302333 w 4181922"/>
            <a:gd name="csY4" fmla="*/ 4117104 h 5428833"/>
            <a:gd name="csX5" fmla="*/ 2781307 w 4181922"/>
            <a:gd name="csY5" fmla="*/ 4781131 h 5428833"/>
            <a:gd name="csX6" fmla="*/ 3249390 w 4181922"/>
            <a:gd name="csY6" fmla="*/ 5075047 h 5428833"/>
            <a:gd name="csX7" fmla="*/ 4033160 w 4181922"/>
            <a:gd name="csY7" fmla="*/ 5428833 h 5428833"/>
            <a:gd name="csX8" fmla="*/ 0 w 4181922"/>
            <a:gd name="csY8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1431475 w 4181922"/>
            <a:gd name="csY3" fmla="*/ 2277419 h 5428833"/>
            <a:gd name="csX4" fmla="*/ 2204359 w 4181922"/>
            <a:gd name="csY4" fmla="*/ 2897903 h 5428833"/>
            <a:gd name="csX5" fmla="*/ 2302333 w 4181922"/>
            <a:gd name="csY5" fmla="*/ 4117104 h 5428833"/>
            <a:gd name="csX6" fmla="*/ 2781307 w 4181922"/>
            <a:gd name="csY6" fmla="*/ 4781131 h 5428833"/>
            <a:gd name="csX7" fmla="*/ 3249390 w 4181922"/>
            <a:gd name="csY7" fmla="*/ 5075047 h 5428833"/>
            <a:gd name="csX8" fmla="*/ 4033160 w 4181922"/>
            <a:gd name="csY8" fmla="*/ 5428833 h 5428833"/>
            <a:gd name="csX9" fmla="*/ 0 w 4181922"/>
            <a:gd name="csY9" fmla="*/ 5396176 h 5428833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164171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781307 w 4181922"/>
            <a:gd name="csY5" fmla="*/ 4776740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3249390 w 4181922"/>
            <a:gd name="csY5" fmla="*/ 5070656 h 5424442"/>
            <a:gd name="csX6" fmla="*/ 4033160 w 4181922"/>
            <a:gd name="csY6" fmla="*/ 5424442 h 5424442"/>
            <a:gd name="csX7" fmla="*/ 0 w 4181922"/>
            <a:gd name="csY7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56757 w 4181922"/>
            <a:gd name="csY5" fmla="*/ 4439284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356757 w 4181922"/>
            <a:gd name="csY5" fmla="*/ 4449505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498274 w 4181922"/>
            <a:gd name="csY5" fmla="*/ 4318876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400302 w 4199464"/>
            <a:gd name="csY4" fmla="*/ 2819540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205 h 5415862"/>
            <a:gd name="csX1" fmla="*/ 3 w 4199464"/>
            <a:gd name="csY1" fmla="*/ 109076 h 5415862"/>
            <a:gd name="csX2" fmla="*/ 615054 w 4199464"/>
            <a:gd name="csY2" fmla="*/ 1850789 h 5415862"/>
            <a:gd name="csX3" fmla="*/ 1551214 w 4199464"/>
            <a:gd name="csY3" fmla="*/ 2275333 h 5415862"/>
            <a:gd name="csX4" fmla="*/ 2400302 w 4199464"/>
            <a:gd name="csY4" fmla="*/ 2819618 h 5415862"/>
            <a:gd name="csX5" fmla="*/ 2498274 w 4199464"/>
            <a:gd name="csY5" fmla="*/ 4300075 h 5415862"/>
            <a:gd name="csX6" fmla="*/ 3282051 w 4199464"/>
            <a:gd name="csY6" fmla="*/ 4996762 h 5415862"/>
            <a:gd name="csX7" fmla="*/ 4033160 w 4199464"/>
            <a:gd name="csY7" fmla="*/ 5415862 h 5415862"/>
            <a:gd name="csX8" fmla="*/ 0 w 4199464"/>
            <a:gd name="csY8" fmla="*/ 5383205 h 5415862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00302 w 4199464"/>
            <a:gd name="csY4" fmla="*/ 2825324 h 5421568"/>
            <a:gd name="csX5" fmla="*/ 2498274 w 4199464"/>
            <a:gd name="csY5" fmla="*/ 4305781 h 5421568"/>
            <a:gd name="csX6" fmla="*/ 3282051 w 4199464"/>
            <a:gd name="csY6" fmla="*/ 5002468 h 5421568"/>
            <a:gd name="csX7" fmla="*/ 4033160 w 4199464"/>
            <a:gd name="csY7" fmla="*/ 5421568 h 5421568"/>
            <a:gd name="csX8" fmla="*/ 0 w 4199464"/>
            <a:gd name="csY8" fmla="*/ 5388911 h 5421568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98274 w 4199464"/>
            <a:gd name="csY4" fmla="*/ 4305781 h 5421568"/>
            <a:gd name="csX5" fmla="*/ 3282051 w 4199464"/>
            <a:gd name="csY5" fmla="*/ 5002468 h 5421568"/>
            <a:gd name="csX6" fmla="*/ 4033160 w 4199464"/>
            <a:gd name="csY6" fmla="*/ 5421568 h 5421568"/>
            <a:gd name="csX7" fmla="*/ 0 w 4199464"/>
            <a:gd name="csY7" fmla="*/ 5388911 h 5421568"/>
            <a:gd name="csX0" fmla="*/ 0 w 4103995"/>
            <a:gd name="csY0" fmla="*/ 5388911 h 5421568"/>
            <a:gd name="csX1" fmla="*/ 3 w 4103995"/>
            <a:gd name="csY1" fmla="*/ 114782 h 5421568"/>
            <a:gd name="csX2" fmla="*/ 549739 w 4103995"/>
            <a:gd name="csY2" fmla="*/ 1736752 h 5421568"/>
            <a:gd name="csX3" fmla="*/ 1551214 w 4103995"/>
            <a:gd name="csY3" fmla="*/ 2281039 h 5421568"/>
            <a:gd name="csX4" fmla="*/ 2498274 w 4103995"/>
            <a:gd name="csY4" fmla="*/ 4305781 h 5421568"/>
            <a:gd name="csX5" fmla="*/ 4033160 w 4103995"/>
            <a:gd name="csY5" fmla="*/ 5421568 h 5421568"/>
            <a:gd name="csX6" fmla="*/ 0 w 4103995"/>
            <a:gd name="csY6" fmla="*/ 5388911 h 5421568"/>
            <a:gd name="csX0" fmla="*/ 0 w 4099339"/>
            <a:gd name="csY0" fmla="*/ 5388911 h 5421568"/>
            <a:gd name="csX1" fmla="*/ 3 w 4099339"/>
            <a:gd name="csY1" fmla="*/ 114782 h 5421568"/>
            <a:gd name="csX2" fmla="*/ 549739 w 4099339"/>
            <a:gd name="csY2" fmla="*/ 1736752 h 5421568"/>
            <a:gd name="csX3" fmla="*/ 1551214 w 4099339"/>
            <a:gd name="csY3" fmla="*/ 2281039 h 5421568"/>
            <a:gd name="csX4" fmla="*/ 2367649 w 4099339"/>
            <a:gd name="csY4" fmla="*/ 4490838 h 5421568"/>
            <a:gd name="csX5" fmla="*/ 4033160 w 4099339"/>
            <a:gd name="csY5" fmla="*/ 5421568 h 5421568"/>
            <a:gd name="csX6" fmla="*/ 0 w 4099339"/>
            <a:gd name="csY6" fmla="*/ 5388911 h 5421568"/>
            <a:gd name="csX0" fmla="*/ 0 w 4096390"/>
            <a:gd name="csY0" fmla="*/ 5390486 h 5423143"/>
            <a:gd name="csX1" fmla="*/ 3 w 4096390"/>
            <a:gd name="csY1" fmla="*/ 116357 h 5423143"/>
            <a:gd name="csX2" fmla="*/ 549739 w 4096390"/>
            <a:gd name="csY2" fmla="*/ 1738327 h 5423143"/>
            <a:gd name="csX3" fmla="*/ 2128160 w 4096390"/>
            <a:gd name="csY3" fmla="*/ 2478557 h 5423143"/>
            <a:gd name="csX4" fmla="*/ 2367649 w 4096390"/>
            <a:gd name="csY4" fmla="*/ 4492413 h 5423143"/>
            <a:gd name="csX5" fmla="*/ 4033160 w 4096390"/>
            <a:gd name="csY5" fmla="*/ 5423143 h 5423143"/>
            <a:gd name="csX6" fmla="*/ 0 w 4096390"/>
            <a:gd name="csY6" fmla="*/ 5390486 h 5423143"/>
            <a:gd name="csX0" fmla="*/ 0 w 4096390"/>
            <a:gd name="csY0" fmla="*/ 5404937 h 5437594"/>
            <a:gd name="csX1" fmla="*/ 3 w 4096390"/>
            <a:gd name="csY1" fmla="*/ 130808 h 5437594"/>
            <a:gd name="csX2" fmla="*/ 549742 w 4096390"/>
            <a:gd name="csY2" fmla="*/ 1502407 h 5437594"/>
            <a:gd name="csX3" fmla="*/ 2128160 w 4096390"/>
            <a:gd name="csY3" fmla="*/ 2493008 h 5437594"/>
            <a:gd name="csX4" fmla="*/ 2367649 w 4096390"/>
            <a:gd name="csY4" fmla="*/ 4506864 h 5437594"/>
            <a:gd name="csX5" fmla="*/ 4033160 w 4096390"/>
            <a:gd name="csY5" fmla="*/ 5437594 h 5437594"/>
            <a:gd name="csX6" fmla="*/ 0 w 4096390"/>
            <a:gd name="csY6" fmla="*/ 5404937 h 5437594"/>
            <a:gd name="csX0" fmla="*/ 0 w 3923419"/>
            <a:gd name="csY0" fmla="*/ 5404937 h 5404937"/>
            <a:gd name="csX1" fmla="*/ 3 w 3923419"/>
            <a:gd name="csY1" fmla="*/ 130808 h 5404937"/>
            <a:gd name="csX2" fmla="*/ 549742 w 3923419"/>
            <a:gd name="csY2" fmla="*/ 1502407 h 5404937"/>
            <a:gd name="csX3" fmla="*/ 2128160 w 3923419"/>
            <a:gd name="csY3" fmla="*/ 2493008 h 5404937"/>
            <a:gd name="csX4" fmla="*/ 2367649 w 3923419"/>
            <a:gd name="csY4" fmla="*/ 4506864 h 5404937"/>
            <a:gd name="csX5" fmla="*/ 3855278 w 3923419"/>
            <a:gd name="csY5" fmla="*/ 5356914 h 5404937"/>
            <a:gd name="csX6" fmla="*/ 0 w 3923419"/>
            <a:gd name="csY6" fmla="*/ 5404937 h 5404937"/>
            <a:gd name="csX0" fmla="*/ 0 w 3478162"/>
            <a:gd name="csY0" fmla="*/ 5404937 h 5404937"/>
            <a:gd name="csX1" fmla="*/ 3 w 3478162"/>
            <a:gd name="csY1" fmla="*/ 130808 h 5404937"/>
            <a:gd name="csX2" fmla="*/ 549742 w 3478162"/>
            <a:gd name="csY2" fmla="*/ 1502407 h 5404937"/>
            <a:gd name="csX3" fmla="*/ 2128160 w 3478162"/>
            <a:gd name="csY3" fmla="*/ 2493008 h 5404937"/>
            <a:gd name="csX4" fmla="*/ 2367649 w 3478162"/>
            <a:gd name="csY4" fmla="*/ 4506864 h 5404937"/>
            <a:gd name="csX5" fmla="*/ 3392783 w 3478162"/>
            <a:gd name="csY5" fmla="*/ 5316574 h 5404937"/>
            <a:gd name="csX6" fmla="*/ 0 w 3478162"/>
            <a:gd name="csY6" fmla="*/ 5404937 h 5404937"/>
            <a:gd name="csX0" fmla="*/ 0 w 3392783"/>
            <a:gd name="csY0" fmla="*/ 5404937 h 5404937"/>
            <a:gd name="csX1" fmla="*/ 3 w 3392783"/>
            <a:gd name="csY1" fmla="*/ 130808 h 5404937"/>
            <a:gd name="csX2" fmla="*/ 549742 w 3392783"/>
            <a:gd name="csY2" fmla="*/ 1502407 h 5404937"/>
            <a:gd name="csX3" fmla="*/ 2128160 w 3392783"/>
            <a:gd name="csY3" fmla="*/ 2493008 h 5404937"/>
            <a:gd name="csX4" fmla="*/ 2367649 w 3392783"/>
            <a:gd name="csY4" fmla="*/ 4506864 h 5404937"/>
            <a:gd name="csX5" fmla="*/ 3392783 w 3392783"/>
            <a:gd name="csY5" fmla="*/ 5316574 h 5404937"/>
            <a:gd name="csX6" fmla="*/ 0 w 3392783"/>
            <a:gd name="csY6" fmla="*/ 5404937 h 5404937"/>
            <a:gd name="csX0" fmla="*/ 0 w 3392783"/>
            <a:gd name="csY0" fmla="*/ 5404937 h 5404937"/>
            <a:gd name="csX1" fmla="*/ 3 w 3392783"/>
            <a:gd name="csY1" fmla="*/ 130808 h 5404937"/>
            <a:gd name="csX2" fmla="*/ 549742 w 3392783"/>
            <a:gd name="csY2" fmla="*/ 1502407 h 5404937"/>
            <a:gd name="csX3" fmla="*/ 2128160 w 3392783"/>
            <a:gd name="csY3" fmla="*/ 2493008 h 5404937"/>
            <a:gd name="csX4" fmla="*/ 2367649 w 3392783"/>
            <a:gd name="csY4" fmla="*/ 4506864 h 5404937"/>
            <a:gd name="csX5" fmla="*/ 3392783 w 3392783"/>
            <a:gd name="csY5" fmla="*/ 5316574 h 5404937"/>
            <a:gd name="csX6" fmla="*/ 0 w 3392783"/>
            <a:gd name="csY6" fmla="*/ 5404937 h 5404937"/>
            <a:gd name="csX0" fmla="*/ 0 w 3845114"/>
            <a:gd name="csY0" fmla="*/ 5404937 h 5444928"/>
            <a:gd name="csX1" fmla="*/ 3 w 3845114"/>
            <a:gd name="csY1" fmla="*/ 130808 h 5444928"/>
            <a:gd name="csX2" fmla="*/ 549742 w 3845114"/>
            <a:gd name="csY2" fmla="*/ 1502407 h 5444928"/>
            <a:gd name="csX3" fmla="*/ 2128160 w 3845114"/>
            <a:gd name="csY3" fmla="*/ 2493008 h 5444928"/>
            <a:gd name="csX4" fmla="*/ 2367649 w 3845114"/>
            <a:gd name="csY4" fmla="*/ 4506864 h 5444928"/>
            <a:gd name="csX5" fmla="*/ 3845114 w 3845114"/>
            <a:gd name="csY5" fmla="*/ 5444928 h 5444928"/>
            <a:gd name="csX6" fmla="*/ 0 w 3845114"/>
            <a:gd name="csY6" fmla="*/ 5404937 h 544492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3845114" h="5444928">
              <a:moveTo>
                <a:pt x="0" y="5404937"/>
              </a:moveTo>
              <a:lnTo>
                <a:pt x="3" y="130808"/>
              </a:lnTo>
              <a:cubicBezTo>
                <a:pt x="102512" y="-457928"/>
                <a:pt x="195049" y="1108707"/>
                <a:pt x="549742" y="1502407"/>
              </a:cubicBezTo>
              <a:cubicBezTo>
                <a:pt x="904435" y="1896107"/>
                <a:pt x="1825175" y="1992265"/>
                <a:pt x="2128160" y="2493008"/>
              </a:cubicBezTo>
              <a:cubicBezTo>
                <a:pt x="2431145" y="2993751"/>
                <a:pt x="2081490" y="4014877"/>
                <a:pt x="2367649" y="4506864"/>
              </a:cubicBezTo>
              <a:cubicBezTo>
                <a:pt x="2653808" y="4998851"/>
                <a:pt x="3565209" y="5319415"/>
                <a:pt x="3845114" y="5444928"/>
              </a:cubicBezTo>
              <a:lnTo>
                <a:pt x="0" y="5404937"/>
              </a:lnTo>
              <a:close/>
            </a:path>
          </a:pathLst>
        </a:custGeom>
        <a:gradFill flip="none" rotWithShape="1">
          <a:gsLst>
            <a:gs pos="64000">
              <a:srgbClr val="0EA7EC"/>
            </a:gs>
            <a:gs pos="90000">
              <a:srgbClr val="45C2E9"/>
            </a:gs>
            <a:gs pos="15000">
              <a:srgbClr val="062542"/>
            </a:gs>
          </a:gsLst>
          <a:lin ang="54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63500" h="31750" prst="softRound"/>
          <a:bevelB w="25400" h="2540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32883</xdr:colOff>
      <xdr:row>0</xdr:row>
      <xdr:rowOff>-1</xdr:rowOff>
    </xdr:from>
    <xdr:to>
      <xdr:col>32</xdr:col>
      <xdr:colOff>201304</xdr:colOff>
      <xdr:row>52</xdr:row>
      <xdr:rowOff>117670</xdr:rowOff>
    </xdr:to>
    <xdr:sp macro="" textlink="">
      <xdr:nvSpPr>
        <xdr:cNvPr id="33" name="Right Triangle 27">
          <a:extLst>
            <a:ext uri="{FF2B5EF4-FFF2-40B4-BE49-F238E27FC236}">
              <a16:creationId xmlns:a16="http://schemas.microsoft.com/office/drawing/2014/main" id="{861D8A65-ADF2-4CBE-B4F5-E45722F0CC47}"/>
            </a:ext>
          </a:extLst>
        </xdr:cNvPr>
        <xdr:cNvSpPr/>
      </xdr:nvSpPr>
      <xdr:spPr>
        <a:xfrm rot="5400000">
          <a:off x="4718490" y="-4685608"/>
          <a:ext cx="9710850" cy="19082063"/>
        </a:xfrm>
        <a:custGeom>
          <a:avLst/>
          <a:gdLst>
            <a:gd name="csX0" fmla="*/ 0 w 3521529"/>
            <a:gd name="csY0" fmla="*/ 5023757 h 5023757"/>
            <a:gd name="csX1" fmla="*/ 0 w 3521529"/>
            <a:gd name="csY1" fmla="*/ 0 h 5023757"/>
            <a:gd name="csX2" fmla="*/ 3521529 w 3521529"/>
            <a:gd name="csY2" fmla="*/ 5023757 h 5023757"/>
            <a:gd name="csX3" fmla="*/ 0 w 3521529"/>
            <a:gd name="csY3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3521529 w 3521529"/>
            <a:gd name="csY3" fmla="*/ 5023757 h 5023757"/>
            <a:gd name="csX4" fmla="*/ 0 w 3521529"/>
            <a:gd name="csY4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2639787 w 3521529"/>
            <a:gd name="csY3" fmla="*/ 3592284 h 5023757"/>
            <a:gd name="csX4" fmla="*/ 3521529 w 3521529"/>
            <a:gd name="csY4" fmla="*/ 5023757 h 5023757"/>
            <a:gd name="csX5" fmla="*/ 0 w 3521529"/>
            <a:gd name="csY5" fmla="*/ 5023757 h 5023757"/>
            <a:gd name="csX0" fmla="*/ 0 w 3521529"/>
            <a:gd name="csY0" fmla="*/ 5192406 h 5192406"/>
            <a:gd name="csX1" fmla="*/ 0 w 3521529"/>
            <a:gd name="csY1" fmla="*/ 168649 h 5192406"/>
            <a:gd name="csX2" fmla="*/ 767444 w 3521529"/>
            <a:gd name="csY2" fmla="*/ 1311648 h 5192406"/>
            <a:gd name="csX3" fmla="*/ 1387930 w 3521529"/>
            <a:gd name="csY3" fmla="*/ 2443762 h 5192406"/>
            <a:gd name="csX4" fmla="*/ 2639787 w 3521529"/>
            <a:gd name="csY4" fmla="*/ 3760933 h 5192406"/>
            <a:gd name="csX5" fmla="*/ 3521529 w 3521529"/>
            <a:gd name="csY5" fmla="*/ 5192406 h 5192406"/>
            <a:gd name="csX6" fmla="*/ 0 w 3521529"/>
            <a:gd name="csY6" fmla="*/ 5192406 h 5192406"/>
            <a:gd name="csX0" fmla="*/ 0 w 3521529"/>
            <a:gd name="csY0" fmla="*/ 5160498 h 5160498"/>
            <a:gd name="csX1" fmla="*/ 0 w 3521529"/>
            <a:gd name="csY1" fmla="*/ 136741 h 5160498"/>
            <a:gd name="csX2" fmla="*/ 615047 w 3521529"/>
            <a:gd name="csY2" fmla="*/ 1726054 h 5160498"/>
            <a:gd name="csX3" fmla="*/ 1387930 w 3521529"/>
            <a:gd name="csY3" fmla="*/ 2411854 h 5160498"/>
            <a:gd name="csX4" fmla="*/ 2639787 w 3521529"/>
            <a:gd name="csY4" fmla="*/ 3729025 h 5160498"/>
            <a:gd name="csX5" fmla="*/ 3521529 w 3521529"/>
            <a:gd name="csY5" fmla="*/ 5160498 h 5160498"/>
            <a:gd name="csX6" fmla="*/ 0 w 3521529"/>
            <a:gd name="csY6" fmla="*/ 5160498 h 5160498"/>
            <a:gd name="csX0" fmla="*/ 0 w 3521529"/>
            <a:gd name="csY0" fmla="*/ 5159901 h 5159901"/>
            <a:gd name="csX1" fmla="*/ 0 w 3521529"/>
            <a:gd name="csY1" fmla="*/ 136144 h 5159901"/>
            <a:gd name="csX2" fmla="*/ 615047 w 3521529"/>
            <a:gd name="csY2" fmla="*/ 1725457 h 5159901"/>
            <a:gd name="csX3" fmla="*/ 1387930 w 3521529"/>
            <a:gd name="csY3" fmla="*/ 2411257 h 5159901"/>
            <a:gd name="csX4" fmla="*/ 2639787 w 3521529"/>
            <a:gd name="csY4" fmla="*/ 3728428 h 5159901"/>
            <a:gd name="csX5" fmla="*/ 3521529 w 3521529"/>
            <a:gd name="csY5" fmla="*/ 5159901 h 5159901"/>
            <a:gd name="csX6" fmla="*/ 0 w 3521529"/>
            <a:gd name="csY6" fmla="*/ 5159901 h 515990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3249387 w 3521529"/>
            <a:gd name="csY4" fmla="*/ 42697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72210 h 5172210"/>
            <a:gd name="csX1" fmla="*/ 0 w 3521529"/>
            <a:gd name="csY1" fmla="*/ 148453 h 5172210"/>
            <a:gd name="csX2" fmla="*/ 713020 w 3521529"/>
            <a:gd name="csY2" fmla="*/ 1541823 h 5172210"/>
            <a:gd name="csX3" fmla="*/ 2204359 w 3521529"/>
            <a:gd name="csY3" fmla="*/ 2673937 h 5172210"/>
            <a:gd name="csX4" fmla="*/ 3249387 w 3521529"/>
            <a:gd name="csY4" fmla="*/ 4274137 h 5172210"/>
            <a:gd name="csX5" fmla="*/ 3521529 w 3521529"/>
            <a:gd name="csY5" fmla="*/ 5172210 h 5172210"/>
            <a:gd name="csX6" fmla="*/ 0 w 3521529"/>
            <a:gd name="csY6" fmla="*/ 5172210 h 5172210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249387 w 4033160"/>
            <a:gd name="csY4" fmla="*/ 4274137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2781307 w 4033160"/>
            <a:gd name="csY4" fmla="*/ 4557165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58656 h 5191313"/>
            <a:gd name="csX1" fmla="*/ 0 w 4033160"/>
            <a:gd name="csY1" fmla="*/ 134899 h 5191313"/>
            <a:gd name="csX2" fmla="*/ 713023 w 4033160"/>
            <a:gd name="csY2" fmla="*/ 1745983 h 5191313"/>
            <a:gd name="csX3" fmla="*/ 2204359 w 4033160"/>
            <a:gd name="csY3" fmla="*/ 2660383 h 5191313"/>
            <a:gd name="csX4" fmla="*/ 2781307 w 4033160"/>
            <a:gd name="csY4" fmla="*/ 4543611 h 5191313"/>
            <a:gd name="csX5" fmla="*/ 4033160 w 4033160"/>
            <a:gd name="csY5" fmla="*/ 5191313 h 5191313"/>
            <a:gd name="csX6" fmla="*/ 0 w 4033160"/>
            <a:gd name="csY6" fmla="*/ 5158656 h 519131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781307 w 4033160"/>
            <a:gd name="csY4" fmla="*/ 4781131 h 5428833"/>
            <a:gd name="csX5" fmla="*/ 4033160 w 4033160"/>
            <a:gd name="csY5" fmla="*/ 5428833 h 5428833"/>
            <a:gd name="csX6" fmla="*/ 0 w 4033160"/>
            <a:gd name="csY6" fmla="*/ 5396176 h 542883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302333 w 4033160"/>
            <a:gd name="csY4" fmla="*/ 4117104 h 5428833"/>
            <a:gd name="csX5" fmla="*/ 2781307 w 4033160"/>
            <a:gd name="csY5" fmla="*/ 4781131 h 5428833"/>
            <a:gd name="csX6" fmla="*/ 4033160 w 4033160"/>
            <a:gd name="csY6" fmla="*/ 5428833 h 5428833"/>
            <a:gd name="csX7" fmla="*/ 0 w 4033160"/>
            <a:gd name="csY7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2204359 w 4181922"/>
            <a:gd name="csY3" fmla="*/ 2897903 h 5428833"/>
            <a:gd name="csX4" fmla="*/ 2302333 w 4181922"/>
            <a:gd name="csY4" fmla="*/ 4117104 h 5428833"/>
            <a:gd name="csX5" fmla="*/ 2781307 w 4181922"/>
            <a:gd name="csY5" fmla="*/ 4781131 h 5428833"/>
            <a:gd name="csX6" fmla="*/ 3249390 w 4181922"/>
            <a:gd name="csY6" fmla="*/ 5075047 h 5428833"/>
            <a:gd name="csX7" fmla="*/ 4033160 w 4181922"/>
            <a:gd name="csY7" fmla="*/ 5428833 h 5428833"/>
            <a:gd name="csX8" fmla="*/ 0 w 4181922"/>
            <a:gd name="csY8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1431475 w 4181922"/>
            <a:gd name="csY3" fmla="*/ 2277419 h 5428833"/>
            <a:gd name="csX4" fmla="*/ 2204359 w 4181922"/>
            <a:gd name="csY4" fmla="*/ 2897903 h 5428833"/>
            <a:gd name="csX5" fmla="*/ 2302333 w 4181922"/>
            <a:gd name="csY5" fmla="*/ 4117104 h 5428833"/>
            <a:gd name="csX6" fmla="*/ 2781307 w 4181922"/>
            <a:gd name="csY6" fmla="*/ 4781131 h 5428833"/>
            <a:gd name="csX7" fmla="*/ 3249390 w 4181922"/>
            <a:gd name="csY7" fmla="*/ 5075047 h 5428833"/>
            <a:gd name="csX8" fmla="*/ 4033160 w 4181922"/>
            <a:gd name="csY8" fmla="*/ 5428833 h 5428833"/>
            <a:gd name="csX9" fmla="*/ 0 w 4181922"/>
            <a:gd name="csY9" fmla="*/ 5396176 h 5428833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164171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781307 w 4181922"/>
            <a:gd name="csY5" fmla="*/ 4776740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3249390 w 4181922"/>
            <a:gd name="csY5" fmla="*/ 5070656 h 5424442"/>
            <a:gd name="csX6" fmla="*/ 4033160 w 4181922"/>
            <a:gd name="csY6" fmla="*/ 5424442 h 5424442"/>
            <a:gd name="csX7" fmla="*/ 0 w 4181922"/>
            <a:gd name="csY7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56757 w 4181922"/>
            <a:gd name="csY5" fmla="*/ 4439284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356757 w 4181922"/>
            <a:gd name="csY5" fmla="*/ 4449505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498274 w 4181922"/>
            <a:gd name="csY5" fmla="*/ 4318876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400302 w 4199464"/>
            <a:gd name="csY4" fmla="*/ 2819540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205 h 5415862"/>
            <a:gd name="csX1" fmla="*/ 3 w 4199464"/>
            <a:gd name="csY1" fmla="*/ 109076 h 5415862"/>
            <a:gd name="csX2" fmla="*/ 615054 w 4199464"/>
            <a:gd name="csY2" fmla="*/ 1850789 h 5415862"/>
            <a:gd name="csX3" fmla="*/ 1551214 w 4199464"/>
            <a:gd name="csY3" fmla="*/ 2275333 h 5415862"/>
            <a:gd name="csX4" fmla="*/ 2400302 w 4199464"/>
            <a:gd name="csY4" fmla="*/ 2819618 h 5415862"/>
            <a:gd name="csX5" fmla="*/ 2498274 w 4199464"/>
            <a:gd name="csY5" fmla="*/ 4300075 h 5415862"/>
            <a:gd name="csX6" fmla="*/ 3282051 w 4199464"/>
            <a:gd name="csY6" fmla="*/ 4996762 h 5415862"/>
            <a:gd name="csX7" fmla="*/ 4033160 w 4199464"/>
            <a:gd name="csY7" fmla="*/ 5415862 h 5415862"/>
            <a:gd name="csX8" fmla="*/ 0 w 4199464"/>
            <a:gd name="csY8" fmla="*/ 5383205 h 5415862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00302 w 4199464"/>
            <a:gd name="csY4" fmla="*/ 2825324 h 5421568"/>
            <a:gd name="csX5" fmla="*/ 2498274 w 4199464"/>
            <a:gd name="csY5" fmla="*/ 4305781 h 5421568"/>
            <a:gd name="csX6" fmla="*/ 3282051 w 4199464"/>
            <a:gd name="csY6" fmla="*/ 5002468 h 5421568"/>
            <a:gd name="csX7" fmla="*/ 4033160 w 4199464"/>
            <a:gd name="csY7" fmla="*/ 5421568 h 5421568"/>
            <a:gd name="csX8" fmla="*/ 0 w 4199464"/>
            <a:gd name="csY8" fmla="*/ 5388911 h 5421568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98274 w 4199464"/>
            <a:gd name="csY4" fmla="*/ 4305781 h 5421568"/>
            <a:gd name="csX5" fmla="*/ 3282051 w 4199464"/>
            <a:gd name="csY5" fmla="*/ 5002468 h 5421568"/>
            <a:gd name="csX6" fmla="*/ 4033160 w 4199464"/>
            <a:gd name="csY6" fmla="*/ 5421568 h 5421568"/>
            <a:gd name="csX7" fmla="*/ 0 w 4199464"/>
            <a:gd name="csY7" fmla="*/ 5388911 h 5421568"/>
            <a:gd name="csX0" fmla="*/ 0 w 4103995"/>
            <a:gd name="csY0" fmla="*/ 5388911 h 5421568"/>
            <a:gd name="csX1" fmla="*/ 3 w 4103995"/>
            <a:gd name="csY1" fmla="*/ 114782 h 5421568"/>
            <a:gd name="csX2" fmla="*/ 549739 w 4103995"/>
            <a:gd name="csY2" fmla="*/ 1736752 h 5421568"/>
            <a:gd name="csX3" fmla="*/ 1551214 w 4103995"/>
            <a:gd name="csY3" fmla="*/ 2281039 h 5421568"/>
            <a:gd name="csX4" fmla="*/ 2498274 w 4103995"/>
            <a:gd name="csY4" fmla="*/ 4305781 h 5421568"/>
            <a:gd name="csX5" fmla="*/ 4033160 w 4103995"/>
            <a:gd name="csY5" fmla="*/ 5421568 h 5421568"/>
            <a:gd name="csX6" fmla="*/ 0 w 4103995"/>
            <a:gd name="csY6" fmla="*/ 5388911 h 5421568"/>
            <a:gd name="csX0" fmla="*/ 0 w 4099339"/>
            <a:gd name="csY0" fmla="*/ 5388911 h 5421568"/>
            <a:gd name="csX1" fmla="*/ 3 w 4099339"/>
            <a:gd name="csY1" fmla="*/ 114782 h 5421568"/>
            <a:gd name="csX2" fmla="*/ 549739 w 4099339"/>
            <a:gd name="csY2" fmla="*/ 1736752 h 5421568"/>
            <a:gd name="csX3" fmla="*/ 1551214 w 4099339"/>
            <a:gd name="csY3" fmla="*/ 2281039 h 5421568"/>
            <a:gd name="csX4" fmla="*/ 2367649 w 4099339"/>
            <a:gd name="csY4" fmla="*/ 4490838 h 5421568"/>
            <a:gd name="csX5" fmla="*/ 4033160 w 4099339"/>
            <a:gd name="csY5" fmla="*/ 5421568 h 5421568"/>
            <a:gd name="csX6" fmla="*/ 0 w 4099339"/>
            <a:gd name="csY6" fmla="*/ 5388911 h 5421568"/>
            <a:gd name="csX0" fmla="*/ 0 w 4096390"/>
            <a:gd name="csY0" fmla="*/ 5390486 h 5423143"/>
            <a:gd name="csX1" fmla="*/ 3 w 4096390"/>
            <a:gd name="csY1" fmla="*/ 116357 h 5423143"/>
            <a:gd name="csX2" fmla="*/ 549739 w 4096390"/>
            <a:gd name="csY2" fmla="*/ 1738327 h 5423143"/>
            <a:gd name="csX3" fmla="*/ 2128160 w 4096390"/>
            <a:gd name="csY3" fmla="*/ 2478557 h 5423143"/>
            <a:gd name="csX4" fmla="*/ 2367649 w 4096390"/>
            <a:gd name="csY4" fmla="*/ 4492413 h 5423143"/>
            <a:gd name="csX5" fmla="*/ 4033160 w 4096390"/>
            <a:gd name="csY5" fmla="*/ 5423143 h 5423143"/>
            <a:gd name="csX6" fmla="*/ 0 w 4096390"/>
            <a:gd name="csY6" fmla="*/ 5390486 h 5423143"/>
            <a:gd name="csX0" fmla="*/ 0 w 4096390"/>
            <a:gd name="csY0" fmla="*/ 5404937 h 5437594"/>
            <a:gd name="csX1" fmla="*/ 3 w 4096390"/>
            <a:gd name="csY1" fmla="*/ 130808 h 5437594"/>
            <a:gd name="csX2" fmla="*/ 549742 w 4096390"/>
            <a:gd name="csY2" fmla="*/ 1502407 h 5437594"/>
            <a:gd name="csX3" fmla="*/ 2128160 w 4096390"/>
            <a:gd name="csY3" fmla="*/ 2493008 h 5437594"/>
            <a:gd name="csX4" fmla="*/ 2367649 w 4096390"/>
            <a:gd name="csY4" fmla="*/ 4506864 h 5437594"/>
            <a:gd name="csX5" fmla="*/ 4033160 w 4096390"/>
            <a:gd name="csY5" fmla="*/ 5437594 h 5437594"/>
            <a:gd name="csX6" fmla="*/ 0 w 4096390"/>
            <a:gd name="csY6" fmla="*/ 5404937 h 5437594"/>
            <a:gd name="csX0" fmla="*/ 0 w 4098758"/>
            <a:gd name="csY0" fmla="*/ 5406270 h 5438927"/>
            <a:gd name="csX1" fmla="*/ 3 w 4098758"/>
            <a:gd name="csY1" fmla="*/ 132141 h 5438927"/>
            <a:gd name="csX2" fmla="*/ 549742 w 4098758"/>
            <a:gd name="csY2" fmla="*/ 1503740 h 5438927"/>
            <a:gd name="csX3" fmla="*/ 1661087 w 4098758"/>
            <a:gd name="csY3" fmla="*/ 2624271 h 5438927"/>
            <a:gd name="csX4" fmla="*/ 2367649 w 4098758"/>
            <a:gd name="csY4" fmla="*/ 4508197 h 5438927"/>
            <a:gd name="csX5" fmla="*/ 4033160 w 4098758"/>
            <a:gd name="csY5" fmla="*/ 5438927 h 5438927"/>
            <a:gd name="csX6" fmla="*/ 0 w 4098758"/>
            <a:gd name="csY6" fmla="*/ 5406270 h 5438927"/>
            <a:gd name="csX0" fmla="*/ 0 w 4095233"/>
            <a:gd name="csY0" fmla="*/ 5406270 h 5438927"/>
            <a:gd name="csX1" fmla="*/ 3 w 4095233"/>
            <a:gd name="csY1" fmla="*/ 132141 h 5438927"/>
            <a:gd name="csX2" fmla="*/ 549742 w 4095233"/>
            <a:gd name="csY2" fmla="*/ 1503740 h 5438927"/>
            <a:gd name="csX3" fmla="*/ 1661087 w 4095233"/>
            <a:gd name="csY3" fmla="*/ 2624271 h 5438927"/>
            <a:gd name="csX4" fmla="*/ 2254035 w 4095233"/>
            <a:gd name="csY4" fmla="*/ 4716086 h 5438927"/>
            <a:gd name="csX5" fmla="*/ 4033160 w 4095233"/>
            <a:gd name="csY5" fmla="*/ 5438927 h 5438927"/>
            <a:gd name="csX6" fmla="*/ 0 w 4095233"/>
            <a:gd name="csY6" fmla="*/ 5406270 h 5438927"/>
            <a:gd name="csX0" fmla="*/ 0 w 4095233"/>
            <a:gd name="csY0" fmla="*/ 5402926 h 5435583"/>
            <a:gd name="csX1" fmla="*/ 3 w 4095233"/>
            <a:gd name="csY1" fmla="*/ 128797 h 5435583"/>
            <a:gd name="csX2" fmla="*/ 915830 w 4095233"/>
            <a:gd name="csY2" fmla="*/ 1552367 h 5435583"/>
            <a:gd name="csX3" fmla="*/ 1661087 w 4095233"/>
            <a:gd name="csY3" fmla="*/ 2620927 h 5435583"/>
            <a:gd name="csX4" fmla="*/ 2254035 w 4095233"/>
            <a:gd name="csY4" fmla="*/ 4712742 h 5435583"/>
            <a:gd name="csX5" fmla="*/ 4033160 w 4095233"/>
            <a:gd name="csY5" fmla="*/ 5435583 h 5435583"/>
            <a:gd name="csX6" fmla="*/ 0 w 4095233"/>
            <a:gd name="csY6" fmla="*/ 5402926 h 5435583"/>
            <a:gd name="csX0" fmla="*/ 0 w 4095233"/>
            <a:gd name="csY0" fmla="*/ 5400655 h 5433312"/>
            <a:gd name="csX1" fmla="*/ 3 w 4095233"/>
            <a:gd name="csY1" fmla="*/ 126526 h 5433312"/>
            <a:gd name="csX2" fmla="*/ 9158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0655 h 5433312"/>
            <a:gd name="csX1" fmla="*/ 3 w 4095233"/>
            <a:gd name="csY1" fmla="*/ 126526 h 5433312"/>
            <a:gd name="csX2" fmla="*/ 7012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5565 h 5438222"/>
            <a:gd name="csX1" fmla="*/ 3 w 4095233"/>
            <a:gd name="csY1" fmla="*/ 131436 h 5438222"/>
            <a:gd name="csX2" fmla="*/ 574997 w 4095233"/>
            <a:gd name="csY2" fmla="*/ 1477048 h 5438222"/>
            <a:gd name="csX3" fmla="*/ 1661087 w 4095233"/>
            <a:gd name="csY3" fmla="*/ 2623566 h 5438222"/>
            <a:gd name="csX4" fmla="*/ 2254035 w 4095233"/>
            <a:gd name="csY4" fmla="*/ 4715381 h 5438222"/>
            <a:gd name="csX5" fmla="*/ 4033160 w 4095233"/>
            <a:gd name="csY5" fmla="*/ 5438222 h 5438222"/>
            <a:gd name="csX6" fmla="*/ 0 w 4095233"/>
            <a:gd name="csY6" fmla="*/ 5405565 h 5438222"/>
            <a:gd name="csX0" fmla="*/ 0 w 4095233"/>
            <a:gd name="csY0" fmla="*/ 5411394 h 5444051"/>
            <a:gd name="csX1" fmla="*/ 3 w 4095233"/>
            <a:gd name="csY1" fmla="*/ 137265 h 5444051"/>
            <a:gd name="csX2" fmla="*/ 574997 w 4095233"/>
            <a:gd name="csY2" fmla="*/ 1482877 h 5444051"/>
            <a:gd name="csX3" fmla="*/ 1661087 w 4095233"/>
            <a:gd name="csY3" fmla="*/ 2629395 h 5444051"/>
            <a:gd name="csX4" fmla="*/ 2254035 w 4095233"/>
            <a:gd name="csY4" fmla="*/ 4721210 h 5444051"/>
            <a:gd name="csX5" fmla="*/ 4033160 w 4095233"/>
            <a:gd name="csY5" fmla="*/ 5444051 h 5444051"/>
            <a:gd name="csX6" fmla="*/ 0 w 4095233"/>
            <a:gd name="csY6" fmla="*/ 5411394 h 5444051"/>
            <a:gd name="csX0" fmla="*/ 0 w 4095233"/>
            <a:gd name="csY0" fmla="*/ 5274129 h 5306786"/>
            <a:gd name="csX1" fmla="*/ 3 w 4095233"/>
            <a:gd name="csY1" fmla="*/ 0 h 5306786"/>
            <a:gd name="csX2" fmla="*/ 574997 w 4095233"/>
            <a:gd name="csY2" fmla="*/ 1345612 h 5306786"/>
            <a:gd name="csX3" fmla="*/ 1661087 w 4095233"/>
            <a:gd name="csY3" fmla="*/ 2492130 h 5306786"/>
            <a:gd name="csX4" fmla="*/ 2254035 w 4095233"/>
            <a:gd name="csY4" fmla="*/ 4583945 h 5306786"/>
            <a:gd name="csX5" fmla="*/ 4033160 w 4095233"/>
            <a:gd name="csY5" fmla="*/ 5306786 h 5306786"/>
            <a:gd name="csX6" fmla="*/ 0 w 4095233"/>
            <a:gd name="csY6" fmla="*/ 5274129 h 5306786"/>
            <a:gd name="csX0" fmla="*/ 0 w 4095233"/>
            <a:gd name="csY0" fmla="*/ 5274129 h 5337426"/>
            <a:gd name="csX1" fmla="*/ 3 w 4095233"/>
            <a:gd name="csY1" fmla="*/ 0 h 5337426"/>
            <a:gd name="csX2" fmla="*/ 574997 w 4095233"/>
            <a:gd name="csY2" fmla="*/ 1345612 h 5337426"/>
            <a:gd name="csX3" fmla="*/ 1661087 w 4095233"/>
            <a:gd name="csY3" fmla="*/ 2492130 h 5337426"/>
            <a:gd name="csX4" fmla="*/ 2254035 w 4095233"/>
            <a:gd name="csY4" fmla="*/ 4583945 h 5337426"/>
            <a:gd name="csX5" fmla="*/ 4033160 w 4095233"/>
            <a:gd name="csY5" fmla="*/ 5337426 h 5337426"/>
            <a:gd name="csX6" fmla="*/ 0 w 4095233"/>
            <a:gd name="csY6" fmla="*/ 5274129 h 5337426"/>
            <a:gd name="csX0" fmla="*/ 0 w 4033160"/>
            <a:gd name="csY0" fmla="*/ 5274129 h 5337426"/>
            <a:gd name="csX1" fmla="*/ 3 w 4033160"/>
            <a:gd name="csY1" fmla="*/ 0 h 5337426"/>
            <a:gd name="csX2" fmla="*/ 574997 w 4033160"/>
            <a:gd name="csY2" fmla="*/ 1345612 h 5337426"/>
            <a:gd name="csX3" fmla="*/ 1661087 w 4033160"/>
            <a:gd name="csY3" fmla="*/ 2492130 h 5337426"/>
            <a:gd name="csX4" fmla="*/ 2254035 w 4033160"/>
            <a:gd name="csY4" fmla="*/ 4583945 h 5337426"/>
            <a:gd name="csX5" fmla="*/ 4033160 w 4033160"/>
            <a:gd name="csY5" fmla="*/ 5337426 h 5337426"/>
            <a:gd name="csX6" fmla="*/ 0 w 4033160"/>
            <a:gd name="csY6" fmla="*/ 5274129 h 533742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4033160" h="5337426">
              <a:moveTo>
                <a:pt x="0" y="5274129"/>
              </a:moveTo>
              <a:lnTo>
                <a:pt x="3" y="0"/>
              </a:lnTo>
              <a:cubicBezTo>
                <a:pt x="161450" y="899507"/>
                <a:pt x="197164" y="878285"/>
                <a:pt x="574997" y="1345612"/>
              </a:cubicBezTo>
              <a:cubicBezTo>
                <a:pt x="952830" y="1812939"/>
                <a:pt x="1381247" y="1952408"/>
                <a:pt x="1661087" y="2492130"/>
              </a:cubicBezTo>
              <a:cubicBezTo>
                <a:pt x="1940927" y="3031852"/>
                <a:pt x="1858690" y="4109729"/>
                <a:pt x="2254035" y="4583945"/>
              </a:cubicBezTo>
              <a:cubicBezTo>
                <a:pt x="2649381" y="5058161"/>
                <a:pt x="3600832" y="5170035"/>
                <a:pt x="4033160" y="5337426"/>
              </a:cubicBezTo>
              <a:lnTo>
                <a:pt x="0" y="5274129"/>
              </a:lnTo>
              <a:close/>
            </a:path>
          </a:pathLst>
        </a:custGeom>
        <a:gradFill flip="none" rotWithShape="1">
          <a:gsLst>
            <a:gs pos="34000">
              <a:srgbClr val="0EA7EC"/>
            </a:gs>
            <a:gs pos="64000">
              <a:schemeClr val="accent1">
                <a:lumMod val="75000"/>
              </a:schemeClr>
            </a:gs>
            <a:gs pos="100000">
              <a:srgbClr val="0A6697"/>
            </a:gs>
            <a:gs pos="0">
              <a:srgbClr val="062542"/>
            </a:gs>
          </a:gsLst>
          <a:lin ang="108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63500" h="31750" prst="softRound"/>
          <a:bevelB w="25400" h="2540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521</xdr:colOff>
      <xdr:row>0</xdr:row>
      <xdr:rowOff>5488</xdr:rowOff>
    </xdr:from>
    <xdr:to>
      <xdr:col>22</xdr:col>
      <xdr:colOff>661470</xdr:colOff>
      <xdr:row>38</xdr:row>
      <xdr:rowOff>98999</xdr:rowOff>
    </xdr:to>
    <xdr:sp macro="" textlink="">
      <xdr:nvSpPr>
        <xdr:cNvPr id="34" name="Right Triangle 27">
          <a:extLst>
            <a:ext uri="{FF2B5EF4-FFF2-40B4-BE49-F238E27FC236}">
              <a16:creationId xmlns:a16="http://schemas.microsoft.com/office/drawing/2014/main" id="{32960BA9-4791-4C3D-B33E-B364B3246DDA}"/>
            </a:ext>
          </a:extLst>
        </xdr:cNvPr>
        <xdr:cNvSpPr/>
      </xdr:nvSpPr>
      <xdr:spPr>
        <a:xfrm rot="5400000">
          <a:off x="2836054" y="-2830045"/>
          <a:ext cx="7164162" cy="12835228"/>
        </a:xfrm>
        <a:custGeom>
          <a:avLst/>
          <a:gdLst>
            <a:gd name="csX0" fmla="*/ 0 w 3521529"/>
            <a:gd name="csY0" fmla="*/ 5023757 h 5023757"/>
            <a:gd name="csX1" fmla="*/ 0 w 3521529"/>
            <a:gd name="csY1" fmla="*/ 0 h 5023757"/>
            <a:gd name="csX2" fmla="*/ 3521529 w 3521529"/>
            <a:gd name="csY2" fmla="*/ 5023757 h 5023757"/>
            <a:gd name="csX3" fmla="*/ 0 w 3521529"/>
            <a:gd name="csY3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3521529 w 3521529"/>
            <a:gd name="csY3" fmla="*/ 5023757 h 5023757"/>
            <a:gd name="csX4" fmla="*/ 0 w 3521529"/>
            <a:gd name="csY4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2639787 w 3521529"/>
            <a:gd name="csY3" fmla="*/ 3592284 h 5023757"/>
            <a:gd name="csX4" fmla="*/ 3521529 w 3521529"/>
            <a:gd name="csY4" fmla="*/ 5023757 h 5023757"/>
            <a:gd name="csX5" fmla="*/ 0 w 3521529"/>
            <a:gd name="csY5" fmla="*/ 5023757 h 5023757"/>
            <a:gd name="csX0" fmla="*/ 0 w 3521529"/>
            <a:gd name="csY0" fmla="*/ 5192406 h 5192406"/>
            <a:gd name="csX1" fmla="*/ 0 w 3521529"/>
            <a:gd name="csY1" fmla="*/ 168649 h 5192406"/>
            <a:gd name="csX2" fmla="*/ 767444 w 3521529"/>
            <a:gd name="csY2" fmla="*/ 1311648 h 5192406"/>
            <a:gd name="csX3" fmla="*/ 1387930 w 3521529"/>
            <a:gd name="csY3" fmla="*/ 2443762 h 5192406"/>
            <a:gd name="csX4" fmla="*/ 2639787 w 3521529"/>
            <a:gd name="csY4" fmla="*/ 3760933 h 5192406"/>
            <a:gd name="csX5" fmla="*/ 3521529 w 3521529"/>
            <a:gd name="csY5" fmla="*/ 5192406 h 5192406"/>
            <a:gd name="csX6" fmla="*/ 0 w 3521529"/>
            <a:gd name="csY6" fmla="*/ 5192406 h 5192406"/>
            <a:gd name="csX0" fmla="*/ 0 w 3521529"/>
            <a:gd name="csY0" fmla="*/ 5160498 h 5160498"/>
            <a:gd name="csX1" fmla="*/ 0 w 3521529"/>
            <a:gd name="csY1" fmla="*/ 136741 h 5160498"/>
            <a:gd name="csX2" fmla="*/ 615047 w 3521529"/>
            <a:gd name="csY2" fmla="*/ 1726054 h 5160498"/>
            <a:gd name="csX3" fmla="*/ 1387930 w 3521529"/>
            <a:gd name="csY3" fmla="*/ 2411854 h 5160498"/>
            <a:gd name="csX4" fmla="*/ 2639787 w 3521529"/>
            <a:gd name="csY4" fmla="*/ 3729025 h 5160498"/>
            <a:gd name="csX5" fmla="*/ 3521529 w 3521529"/>
            <a:gd name="csY5" fmla="*/ 5160498 h 5160498"/>
            <a:gd name="csX6" fmla="*/ 0 w 3521529"/>
            <a:gd name="csY6" fmla="*/ 5160498 h 5160498"/>
            <a:gd name="csX0" fmla="*/ 0 w 3521529"/>
            <a:gd name="csY0" fmla="*/ 5159901 h 5159901"/>
            <a:gd name="csX1" fmla="*/ 0 w 3521529"/>
            <a:gd name="csY1" fmla="*/ 136144 h 5159901"/>
            <a:gd name="csX2" fmla="*/ 615047 w 3521529"/>
            <a:gd name="csY2" fmla="*/ 1725457 h 5159901"/>
            <a:gd name="csX3" fmla="*/ 1387930 w 3521529"/>
            <a:gd name="csY3" fmla="*/ 2411257 h 5159901"/>
            <a:gd name="csX4" fmla="*/ 2639787 w 3521529"/>
            <a:gd name="csY4" fmla="*/ 3728428 h 5159901"/>
            <a:gd name="csX5" fmla="*/ 3521529 w 3521529"/>
            <a:gd name="csY5" fmla="*/ 5159901 h 5159901"/>
            <a:gd name="csX6" fmla="*/ 0 w 3521529"/>
            <a:gd name="csY6" fmla="*/ 5159901 h 515990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3249387 w 3521529"/>
            <a:gd name="csY4" fmla="*/ 42697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72210 h 5172210"/>
            <a:gd name="csX1" fmla="*/ 0 w 3521529"/>
            <a:gd name="csY1" fmla="*/ 148453 h 5172210"/>
            <a:gd name="csX2" fmla="*/ 713020 w 3521529"/>
            <a:gd name="csY2" fmla="*/ 1541823 h 5172210"/>
            <a:gd name="csX3" fmla="*/ 2204359 w 3521529"/>
            <a:gd name="csY3" fmla="*/ 2673937 h 5172210"/>
            <a:gd name="csX4" fmla="*/ 3249387 w 3521529"/>
            <a:gd name="csY4" fmla="*/ 4274137 h 5172210"/>
            <a:gd name="csX5" fmla="*/ 3521529 w 3521529"/>
            <a:gd name="csY5" fmla="*/ 5172210 h 5172210"/>
            <a:gd name="csX6" fmla="*/ 0 w 3521529"/>
            <a:gd name="csY6" fmla="*/ 5172210 h 5172210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249387 w 4033160"/>
            <a:gd name="csY4" fmla="*/ 4274137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2781307 w 4033160"/>
            <a:gd name="csY4" fmla="*/ 4557165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58656 h 5191313"/>
            <a:gd name="csX1" fmla="*/ 0 w 4033160"/>
            <a:gd name="csY1" fmla="*/ 134899 h 5191313"/>
            <a:gd name="csX2" fmla="*/ 713023 w 4033160"/>
            <a:gd name="csY2" fmla="*/ 1745983 h 5191313"/>
            <a:gd name="csX3" fmla="*/ 2204359 w 4033160"/>
            <a:gd name="csY3" fmla="*/ 2660383 h 5191313"/>
            <a:gd name="csX4" fmla="*/ 2781307 w 4033160"/>
            <a:gd name="csY4" fmla="*/ 4543611 h 5191313"/>
            <a:gd name="csX5" fmla="*/ 4033160 w 4033160"/>
            <a:gd name="csY5" fmla="*/ 5191313 h 5191313"/>
            <a:gd name="csX6" fmla="*/ 0 w 4033160"/>
            <a:gd name="csY6" fmla="*/ 5158656 h 519131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781307 w 4033160"/>
            <a:gd name="csY4" fmla="*/ 4781131 h 5428833"/>
            <a:gd name="csX5" fmla="*/ 4033160 w 4033160"/>
            <a:gd name="csY5" fmla="*/ 5428833 h 5428833"/>
            <a:gd name="csX6" fmla="*/ 0 w 4033160"/>
            <a:gd name="csY6" fmla="*/ 5396176 h 542883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302333 w 4033160"/>
            <a:gd name="csY4" fmla="*/ 4117104 h 5428833"/>
            <a:gd name="csX5" fmla="*/ 2781307 w 4033160"/>
            <a:gd name="csY5" fmla="*/ 4781131 h 5428833"/>
            <a:gd name="csX6" fmla="*/ 4033160 w 4033160"/>
            <a:gd name="csY6" fmla="*/ 5428833 h 5428833"/>
            <a:gd name="csX7" fmla="*/ 0 w 4033160"/>
            <a:gd name="csY7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2204359 w 4181922"/>
            <a:gd name="csY3" fmla="*/ 2897903 h 5428833"/>
            <a:gd name="csX4" fmla="*/ 2302333 w 4181922"/>
            <a:gd name="csY4" fmla="*/ 4117104 h 5428833"/>
            <a:gd name="csX5" fmla="*/ 2781307 w 4181922"/>
            <a:gd name="csY5" fmla="*/ 4781131 h 5428833"/>
            <a:gd name="csX6" fmla="*/ 3249390 w 4181922"/>
            <a:gd name="csY6" fmla="*/ 5075047 h 5428833"/>
            <a:gd name="csX7" fmla="*/ 4033160 w 4181922"/>
            <a:gd name="csY7" fmla="*/ 5428833 h 5428833"/>
            <a:gd name="csX8" fmla="*/ 0 w 4181922"/>
            <a:gd name="csY8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1431475 w 4181922"/>
            <a:gd name="csY3" fmla="*/ 2277419 h 5428833"/>
            <a:gd name="csX4" fmla="*/ 2204359 w 4181922"/>
            <a:gd name="csY4" fmla="*/ 2897903 h 5428833"/>
            <a:gd name="csX5" fmla="*/ 2302333 w 4181922"/>
            <a:gd name="csY5" fmla="*/ 4117104 h 5428833"/>
            <a:gd name="csX6" fmla="*/ 2781307 w 4181922"/>
            <a:gd name="csY6" fmla="*/ 4781131 h 5428833"/>
            <a:gd name="csX7" fmla="*/ 3249390 w 4181922"/>
            <a:gd name="csY7" fmla="*/ 5075047 h 5428833"/>
            <a:gd name="csX8" fmla="*/ 4033160 w 4181922"/>
            <a:gd name="csY8" fmla="*/ 5428833 h 5428833"/>
            <a:gd name="csX9" fmla="*/ 0 w 4181922"/>
            <a:gd name="csY9" fmla="*/ 5396176 h 5428833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164171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781307 w 4181922"/>
            <a:gd name="csY5" fmla="*/ 4776740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3249390 w 4181922"/>
            <a:gd name="csY5" fmla="*/ 5070656 h 5424442"/>
            <a:gd name="csX6" fmla="*/ 4033160 w 4181922"/>
            <a:gd name="csY6" fmla="*/ 5424442 h 5424442"/>
            <a:gd name="csX7" fmla="*/ 0 w 4181922"/>
            <a:gd name="csY7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56757 w 4181922"/>
            <a:gd name="csY5" fmla="*/ 4439284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356757 w 4181922"/>
            <a:gd name="csY5" fmla="*/ 4449505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498274 w 4181922"/>
            <a:gd name="csY5" fmla="*/ 4318876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400302 w 4199464"/>
            <a:gd name="csY4" fmla="*/ 2819540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205 h 5415862"/>
            <a:gd name="csX1" fmla="*/ 3 w 4199464"/>
            <a:gd name="csY1" fmla="*/ 109076 h 5415862"/>
            <a:gd name="csX2" fmla="*/ 615054 w 4199464"/>
            <a:gd name="csY2" fmla="*/ 1850789 h 5415862"/>
            <a:gd name="csX3" fmla="*/ 1551214 w 4199464"/>
            <a:gd name="csY3" fmla="*/ 2275333 h 5415862"/>
            <a:gd name="csX4" fmla="*/ 2400302 w 4199464"/>
            <a:gd name="csY4" fmla="*/ 2819618 h 5415862"/>
            <a:gd name="csX5" fmla="*/ 2498274 w 4199464"/>
            <a:gd name="csY5" fmla="*/ 4300075 h 5415862"/>
            <a:gd name="csX6" fmla="*/ 3282051 w 4199464"/>
            <a:gd name="csY6" fmla="*/ 4996762 h 5415862"/>
            <a:gd name="csX7" fmla="*/ 4033160 w 4199464"/>
            <a:gd name="csY7" fmla="*/ 5415862 h 5415862"/>
            <a:gd name="csX8" fmla="*/ 0 w 4199464"/>
            <a:gd name="csY8" fmla="*/ 5383205 h 5415862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00302 w 4199464"/>
            <a:gd name="csY4" fmla="*/ 2825324 h 5421568"/>
            <a:gd name="csX5" fmla="*/ 2498274 w 4199464"/>
            <a:gd name="csY5" fmla="*/ 4305781 h 5421568"/>
            <a:gd name="csX6" fmla="*/ 3282051 w 4199464"/>
            <a:gd name="csY6" fmla="*/ 5002468 h 5421568"/>
            <a:gd name="csX7" fmla="*/ 4033160 w 4199464"/>
            <a:gd name="csY7" fmla="*/ 5421568 h 5421568"/>
            <a:gd name="csX8" fmla="*/ 0 w 4199464"/>
            <a:gd name="csY8" fmla="*/ 5388911 h 5421568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98274 w 4199464"/>
            <a:gd name="csY4" fmla="*/ 4305781 h 5421568"/>
            <a:gd name="csX5" fmla="*/ 3282051 w 4199464"/>
            <a:gd name="csY5" fmla="*/ 5002468 h 5421568"/>
            <a:gd name="csX6" fmla="*/ 4033160 w 4199464"/>
            <a:gd name="csY6" fmla="*/ 5421568 h 5421568"/>
            <a:gd name="csX7" fmla="*/ 0 w 4199464"/>
            <a:gd name="csY7" fmla="*/ 5388911 h 5421568"/>
            <a:gd name="csX0" fmla="*/ 0 w 4103995"/>
            <a:gd name="csY0" fmla="*/ 5388911 h 5421568"/>
            <a:gd name="csX1" fmla="*/ 3 w 4103995"/>
            <a:gd name="csY1" fmla="*/ 114782 h 5421568"/>
            <a:gd name="csX2" fmla="*/ 549739 w 4103995"/>
            <a:gd name="csY2" fmla="*/ 1736752 h 5421568"/>
            <a:gd name="csX3" fmla="*/ 1551214 w 4103995"/>
            <a:gd name="csY3" fmla="*/ 2281039 h 5421568"/>
            <a:gd name="csX4" fmla="*/ 2498274 w 4103995"/>
            <a:gd name="csY4" fmla="*/ 4305781 h 5421568"/>
            <a:gd name="csX5" fmla="*/ 4033160 w 4103995"/>
            <a:gd name="csY5" fmla="*/ 5421568 h 5421568"/>
            <a:gd name="csX6" fmla="*/ 0 w 4103995"/>
            <a:gd name="csY6" fmla="*/ 5388911 h 5421568"/>
            <a:gd name="csX0" fmla="*/ 0 w 4099339"/>
            <a:gd name="csY0" fmla="*/ 5388911 h 5421568"/>
            <a:gd name="csX1" fmla="*/ 3 w 4099339"/>
            <a:gd name="csY1" fmla="*/ 114782 h 5421568"/>
            <a:gd name="csX2" fmla="*/ 549739 w 4099339"/>
            <a:gd name="csY2" fmla="*/ 1736752 h 5421568"/>
            <a:gd name="csX3" fmla="*/ 1551214 w 4099339"/>
            <a:gd name="csY3" fmla="*/ 2281039 h 5421568"/>
            <a:gd name="csX4" fmla="*/ 2367649 w 4099339"/>
            <a:gd name="csY4" fmla="*/ 4490838 h 5421568"/>
            <a:gd name="csX5" fmla="*/ 4033160 w 4099339"/>
            <a:gd name="csY5" fmla="*/ 5421568 h 5421568"/>
            <a:gd name="csX6" fmla="*/ 0 w 4099339"/>
            <a:gd name="csY6" fmla="*/ 5388911 h 5421568"/>
            <a:gd name="csX0" fmla="*/ 0 w 4096390"/>
            <a:gd name="csY0" fmla="*/ 5390486 h 5423143"/>
            <a:gd name="csX1" fmla="*/ 3 w 4096390"/>
            <a:gd name="csY1" fmla="*/ 116357 h 5423143"/>
            <a:gd name="csX2" fmla="*/ 549739 w 4096390"/>
            <a:gd name="csY2" fmla="*/ 1738327 h 5423143"/>
            <a:gd name="csX3" fmla="*/ 2128160 w 4096390"/>
            <a:gd name="csY3" fmla="*/ 2478557 h 5423143"/>
            <a:gd name="csX4" fmla="*/ 2367649 w 4096390"/>
            <a:gd name="csY4" fmla="*/ 4492413 h 5423143"/>
            <a:gd name="csX5" fmla="*/ 4033160 w 4096390"/>
            <a:gd name="csY5" fmla="*/ 5423143 h 5423143"/>
            <a:gd name="csX6" fmla="*/ 0 w 4096390"/>
            <a:gd name="csY6" fmla="*/ 5390486 h 5423143"/>
            <a:gd name="csX0" fmla="*/ 0 w 4096390"/>
            <a:gd name="csY0" fmla="*/ 5404937 h 5437594"/>
            <a:gd name="csX1" fmla="*/ 3 w 4096390"/>
            <a:gd name="csY1" fmla="*/ 130808 h 5437594"/>
            <a:gd name="csX2" fmla="*/ 549742 w 4096390"/>
            <a:gd name="csY2" fmla="*/ 1502407 h 5437594"/>
            <a:gd name="csX3" fmla="*/ 2128160 w 4096390"/>
            <a:gd name="csY3" fmla="*/ 2493008 h 5437594"/>
            <a:gd name="csX4" fmla="*/ 2367649 w 4096390"/>
            <a:gd name="csY4" fmla="*/ 4506864 h 5437594"/>
            <a:gd name="csX5" fmla="*/ 4033160 w 4096390"/>
            <a:gd name="csY5" fmla="*/ 5437594 h 5437594"/>
            <a:gd name="csX6" fmla="*/ 0 w 4096390"/>
            <a:gd name="csY6" fmla="*/ 5404937 h 5437594"/>
            <a:gd name="csX0" fmla="*/ 0 w 4098758"/>
            <a:gd name="csY0" fmla="*/ 5406270 h 5438927"/>
            <a:gd name="csX1" fmla="*/ 3 w 4098758"/>
            <a:gd name="csY1" fmla="*/ 132141 h 5438927"/>
            <a:gd name="csX2" fmla="*/ 549742 w 4098758"/>
            <a:gd name="csY2" fmla="*/ 1503740 h 5438927"/>
            <a:gd name="csX3" fmla="*/ 1661087 w 4098758"/>
            <a:gd name="csY3" fmla="*/ 2624271 h 5438927"/>
            <a:gd name="csX4" fmla="*/ 2367649 w 4098758"/>
            <a:gd name="csY4" fmla="*/ 4508197 h 5438927"/>
            <a:gd name="csX5" fmla="*/ 4033160 w 4098758"/>
            <a:gd name="csY5" fmla="*/ 5438927 h 5438927"/>
            <a:gd name="csX6" fmla="*/ 0 w 4098758"/>
            <a:gd name="csY6" fmla="*/ 5406270 h 5438927"/>
            <a:gd name="csX0" fmla="*/ 0 w 4095233"/>
            <a:gd name="csY0" fmla="*/ 5406270 h 5438927"/>
            <a:gd name="csX1" fmla="*/ 3 w 4095233"/>
            <a:gd name="csY1" fmla="*/ 132141 h 5438927"/>
            <a:gd name="csX2" fmla="*/ 549742 w 4095233"/>
            <a:gd name="csY2" fmla="*/ 1503740 h 5438927"/>
            <a:gd name="csX3" fmla="*/ 1661087 w 4095233"/>
            <a:gd name="csY3" fmla="*/ 2624271 h 5438927"/>
            <a:gd name="csX4" fmla="*/ 2254035 w 4095233"/>
            <a:gd name="csY4" fmla="*/ 4716086 h 5438927"/>
            <a:gd name="csX5" fmla="*/ 4033160 w 4095233"/>
            <a:gd name="csY5" fmla="*/ 5438927 h 5438927"/>
            <a:gd name="csX6" fmla="*/ 0 w 4095233"/>
            <a:gd name="csY6" fmla="*/ 5406270 h 5438927"/>
            <a:gd name="csX0" fmla="*/ 0 w 4095233"/>
            <a:gd name="csY0" fmla="*/ 5402926 h 5435583"/>
            <a:gd name="csX1" fmla="*/ 3 w 4095233"/>
            <a:gd name="csY1" fmla="*/ 128797 h 5435583"/>
            <a:gd name="csX2" fmla="*/ 915830 w 4095233"/>
            <a:gd name="csY2" fmla="*/ 1552367 h 5435583"/>
            <a:gd name="csX3" fmla="*/ 1661087 w 4095233"/>
            <a:gd name="csY3" fmla="*/ 2620927 h 5435583"/>
            <a:gd name="csX4" fmla="*/ 2254035 w 4095233"/>
            <a:gd name="csY4" fmla="*/ 4712742 h 5435583"/>
            <a:gd name="csX5" fmla="*/ 4033160 w 4095233"/>
            <a:gd name="csY5" fmla="*/ 5435583 h 5435583"/>
            <a:gd name="csX6" fmla="*/ 0 w 4095233"/>
            <a:gd name="csY6" fmla="*/ 5402926 h 5435583"/>
            <a:gd name="csX0" fmla="*/ 0 w 4095233"/>
            <a:gd name="csY0" fmla="*/ 5400655 h 5433312"/>
            <a:gd name="csX1" fmla="*/ 3 w 4095233"/>
            <a:gd name="csY1" fmla="*/ 126526 h 5433312"/>
            <a:gd name="csX2" fmla="*/ 9158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0655 h 5433312"/>
            <a:gd name="csX1" fmla="*/ 3 w 4095233"/>
            <a:gd name="csY1" fmla="*/ 126526 h 5433312"/>
            <a:gd name="csX2" fmla="*/ 7012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5565 h 5438222"/>
            <a:gd name="csX1" fmla="*/ 3 w 4095233"/>
            <a:gd name="csY1" fmla="*/ 131436 h 5438222"/>
            <a:gd name="csX2" fmla="*/ 574997 w 4095233"/>
            <a:gd name="csY2" fmla="*/ 1477048 h 5438222"/>
            <a:gd name="csX3" fmla="*/ 1661087 w 4095233"/>
            <a:gd name="csY3" fmla="*/ 2623566 h 5438222"/>
            <a:gd name="csX4" fmla="*/ 2254035 w 4095233"/>
            <a:gd name="csY4" fmla="*/ 4715381 h 5438222"/>
            <a:gd name="csX5" fmla="*/ 4033160 w 4095233"/>
            <a:gd name="csY5" fmla="*/ 5438222 h 5438222"/>
            <a:gd name="csX6" fmla="*/ 0 w 4095233"/>
            <a:gd name="csY6" fmla="*/ 5405565 h 5438222"/>
            <a:gd name="csX0" fmla="*/ 0 w 4095233"/>
            <a:gd name="csY0" fmla="*/ 5411394 h 5444051"/>
            <a:gd name="csX1" fmla="*/ 3 w 4095233"/>
            <a:gd name="csY1" fmla="*/ 137265 h 5444051"/>
            <a:gd name="csX2" fmla="*/ 574997 w 4095233"/>
            <a:gd name="csY2" fmla="*/ 1482877 h 5444051"/>
            <a:gd name="csX3" fmla="*/ 1661087 w 4095233"/>
            <a:gd name="csY3" fmla="*/ 2629395 h 5444051"/>
            <a:gd name="csX4" fmla="*/ 2254035 w 4095233"/>
            <a:gd name="csY4" fmla="*/ 4721210 h 5444051"/>
            <a:gd name="csX5" fmla="*/ 4033160 w 4095233"/>
            <a:gd name="csY5" fmla="*/ 5444051 h 5444051"/>
            <a:gd name="csX6" fmla="*/ 0 w 4095233"/>
            <a:gd name="csY6" fmla="*/ 5411394 h 5444051"/>
            <a:gd name="csX0" fmla="*/ 0 w 4151052"/>
            <a:gd name="csY0" fmla="*/ 5411395 h 5470729"/>
            <a:gd name="csX1" fmla="*/ 3 w 4151052"/>
            <a:gd name="csY1" fmla="*/ 137266 h 5470729"/>
            <a:gd name="csX2" fmla="*/ 574997 w 4151052"/>
            <a:gd name="csY2" fmla="*/ 1482878 h 5470729"/>
            <a:gd name="csX3" fmla="*/ 1661087 w 4151052"/>
            <a:gd name="csY3" fmla="*/ 2629396 h 5470729"/>
            <a:gd name="csX4" fmla="*/ 2254035 w 4151052"/>
            <a:gd name="csY4" fmla="*/ 4721211 h 5470729"/>
            <a:gd name="csX5" fmla="*/ 4090358 w 4151052"/>
            <a:gd name="csY5" fmla="*/ 5470729 h 5470729"/>
            <a:gd name="csX6" fmla="*/ 0 w 4151052"/>
            <a:gd name="csY6" fmla="*/ 5411395 h 5470729"/>
            <a:gd name="csX0" fmla="*/ 0 w 4090358"/>
            <a:gd name="csY0" fmla="*/ 5411395 h 5470729"/>
            <a:gd name="csX1" fmla="*/ 3 w 4090358"/>
            <a:gd name="csY1" fmla="*/ 137266 h 5470729"/>
            <a:gd name="csX2" fmla="*/ 574997 w 4090358"/>
            <a:gd name="csY2" fmla="*/ 1482878 h 5470729"/>
            <a:gd name="csX3" fmla="*/ 1661087 w 4090358"/>
            <a:gd name="csY3" fmla="*/ 2629396 h 5470729"/>
            <a:gd name="csX4" fmla="*/ 2254035 w 4090358"/>
            <a:gd name="csY4" fmla="*/ 4721211 h 5470729"/>
            <a:gd name="csX5" fmla="*/ 4090358 w 4090358"/>
            <a:gd name="csY5" fmla="*/ 5470729 h 5470729"/>
            <a:gd name="csX6" fmla="*/ 0 w 4090358"/>
            <a:gd name="csY6" fmla="*/ 5411395 h 547072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4090358" h="5470729">
              <a:moveTo>
                <a:pt x="0" y="5411395"/>
              </a:moveTo>
              <a:lnTo>
                <a:pt x="3" y="137266"/>
              </a:lnTo>
              <a:cubicBezTo>
                <a:pt x="102512" y="-451470"/>
                <a:pt x="197164" y="1015551"/>
                <a:pt x="574997" y="1482878"/>
              </a:cubicBezTo>
              <a:cubicBezTo>
                <a:pt x="952830" y="1950205"/>
                <a:pt x="1381247" y="2089674"/>
                <a:pt x="1661087" y="2629396"/>
              </a:cubicBezTo>
              <a:cubicBezTo>
                <a:pt x="1940927" y="3169118"/>
                <a:pt x="1849157" y="4247656"/>
                <a:pt x="2254035" y="4721211"/>
              </a:cubicBezTo>
              <a:cubicBezTo>
                <a:pt x="2658913" y="5194766"/>
                <a:pt x="3321954" y="5270199"/>
                <a:pt x="4090358" y="5470729"/>
              </a:cubicBezTo>
              <a:lnTo>
                <a:pt x="0" y="5411395"/>
              </a:lnTo>
              <a:close/>
            </a:path>
          </a:pathLst>
        </a:custGeom>
        <a:gradFill flip="none" rotWithShape="1">
          <a:gsLst>
            <a:gs pos="97000">
              <a:schemeClr val="accent1">
                <a:lumMod val="75000"/>
              </a:schemeClr>
            </a:gs>
            <a:gs pos="44000">
              <a:schemeClr val="accent1">
                <a:lumMod val="60000"/>
                <a:lumOff val="40000"/>
              </a:schemeClr>
            </a:gs>
            <a:gs pos="4000">
              <a:srgbClr val="062542"/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63500" h="31750" prst="softRound"/>
          <a:bevelB w="25400" h="2540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19471</xdr:colOff>
      <xdr:row>15</xdr:row>
      <xdr:rowOff>186</xdr:rowOff>
    </xdr:from>
    <xdr:to>
      <xdr:col>14</xdr:col>
      <xdr:colOff>504366</xdr:colOff>
      <xdr:row>40</xdr:row>
      <xdr:rowOff>39598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785CD99-5156-44D8-76A4-B62D62F5314E}"/>
            </a:ext>
          </a:extLst>
        </xdr:cNvPr>
        <xdr:cNvSpPr/>
      </xdr:nvSpPr>
      <xdr:spPr>
        <a:xfrm>
          <a:off x="4070610" y="2749173"/>
          <a:ext cx="5886414" cy="4621058"/>
        </a:xfrm>
        <a:prstGeom prst="roundRect">
          <a:avLst/>
        </a:prstGeom>
        <a:gradFill flip="none" rotWithShape="1">
          <a:gsLst>
            <a:gs pos="80000">
              <a:schemeClr val="accent1">
                <a:lumMod val="75000"/>
              </a:schemeClr>
            </a:gs>
            <a:gs pos="40000">
              <a:schemeClr val="tx2">
                <a:lumMod val="50000"/>
                <a:lumOff val="50000"/>
              </a:schemeClr>
            </a:gs>
            <a:gs pos="9000">
              <a:schemeClr val="tx2">
                <a:lumMod val="25000"/>
                <a:lumOff val="75000"/>
              </a:schemeClr>
            </a:gs>
          </a:gsLst>
          <a:lin ang="13500000" scaled="1"/>
          <a:tileRect/>
        </a:gradFill>
        <a:ln w="9525" cap="rnd" cmpd="sng">
          <a:solidFill>
            <a:schemeClr val="tx2">
              <a:lumMod val="90000"/>
              <a:lumOff val="10000"/>
            </a:schemeClr>
          </a:solidFill>
          <a:round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glow rad="50800">
            <a:schemeClr val="accent4">
              <a:satMod val="175000"/>
              <a:alpha val="54000"/>
            </a:schemeClr>
          </a:glow>
          <a:softEdge rad="88900"/>
        </a:effectLst>
        <a:scene3d>
          <a:camera prst="perspectiveFront"/>
          <a:lightRig rig="threePt" dir="t"/>
        </a:scene3d>
        <a:sp3d extrusionH="152400" contourW="38100" prstMaterial="dkEdge">
          <a:bevelT prst="angle"/>
          <a:bevelB w="139700" h="133350" prst="angle"/>
          <a:extrusionClr>
            <a:schemeClr val="tx2">
              <a:lumMod val="90000"/>
              <a:lumOff val="10000"/>
            </a:schemeClr>
          </a:extrusionClr>
          <a:contourClr>
            <a:schemeClr val="tx2">
              <a:lumMod val="90000"/>
              <a:lumOff val="10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200244</xdr:colOff>
      <xdr:row>16</xdr:row>
      <xdr:rowOff>66672</xdr:rowOff>
    </xdr:from>
    <xdr:to>
      <xdr:col>12</xdr:col>
      <xdr:colOff>232638</xdr:colOff>
      <xdr:row>18</xdr:row>
      <xdr:rowOff>153461</xdr:rowOff>
    </xdr:to>
    <xdr:sp macro="" textlink="">
      <xdr:nvSpPr>
        <xdr:cNvPr id="3" name="Flowchart: Terminator 2">
          <a:extLst>
            <a:ext uri="{FF2B5EF4-FFF2-40B4-BE49-F238E27FC236}">
              <a16:creationId xmlns:a16="http://schemas.microsoft.com/office/drawing/2014/main" id="{FDE443A2-A8C7-60EC-39D5-89A109A66829}"/>
            </a:ext>
          </a:extLst>
        </xdr:cNvPr>
        <xdr:cNvSpPr/>
      </xdr:nvSpPr>
      <xdr:spPr>
        <a:xfrm>
          <a:off x="5077044" y="3027586"/>
          <a:ext cx="2470794" cy="456904"/>
        </a:xfrm>
        <a:prstGeom prst="flowChartTerminator">
          <a:avLst/>
        </a:prstGeom>
        <a:gradFill flip="none" rotWithShape="1">
          <a:gsLst>
            <a:gs pos="0">
              <a:schemeClr val="tx2">
                <a:lumMod val="50000"/>
                <a:lumOff val="50000"/>
              </a:schemeClr>
            </a:gs>
            <a:gs pos="87000">
              <a:schemeClr val="accent3">
                <a:lumMod val="20000"/>
                <a:lumOff val="80000"/>
              </a:schemeClr>
            </a:gs>
            <a:gs pos="100000">
              <a:schemeClr val="tx2">
                <a:lumMod val="75000"/>
                <a:lumOff val="25000"/>
              </a:schemeClr>
            </a:gs>
          </a:gsLst>
          <a:lin ang="2700000" scaled="1"/>
          <a:tileRect/>
        </a:gradFill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>
              <a:solidFill>
                <a:schemeClr val="tx2">
                  <a:lumMod val="90000"/>
                  <a:lumOff val="10000"/>
                </a:schemeClr>
              </a:solidFill>
              <a:latin typeface="Bodoni MT" panose="02070603080606020203" pitchFamily="18" charset="0"/>
            </a:rPr>
            <a:t>Main</a:t>
          </a:r>
          <a:r>
            <a:rPr lang="en-IN" sz="2400" baseline="0">
              <a:solidFill>
                <a:schemeClr val="tx2">
                  <a:lumMod val="90000"/>
                  <a:lumOff val="10000"/>
                </a:schemeClr>
              </a:solidFill>
              <a:latin typeface="Bodoni MT" panose="02070603080606020203" pitchFamily="18" charset="0"/>
            </a:rPr>
            <a:t> Menu</a:t>
          </a:r>
          <a:endParaRPr lang="en-IN" sz="2400">
            <a:solidFill>
              <a:schemeClr val="tx2">
                <a:lumMod val="90000"/>
                <a:lumOff val="10000"/>
              </a:schemeClr>
            </a:solidFill>
            <a:latin typeface="Bodoni MT" panose="02070603080606020203" pitchFamily="18" charset="0"/>
          </a:endParaRPr>
        </a:p>
      </xdr:txBody>
    </xdr:sp>
    <xdr:clientData/>
  </xdr:twoCellAnchor>
  <xdr:twoCellAnchor>
    <xdr:from>
      <xdr:col>1</xdr:col>
      <xdr:colOff>609592</xdr:colOff>
      <xdr:row>7</xdr:row>
      <xdr:rowOff>108854</xdr:rowOff>
    </xdr:from>
    <xdr:to>
      <xdr:col>5</xdr:col>
      <xdr:colOff>522507</xdr:colOff>
      <xdr:row>12</xdr:row>
      <xdr:rowOff>87082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A2593680-85BD-1076-968B-FEE5911FCA80}"/>
            </a:ext>
          </a:extLst>
        </xdr:cNvPr>
        <xdr:cNvGrpSpPr/>
      </xdr:nvGrpSpPr>
      <xdr:grpSpPr>
        <a:xfrm>
          <a:off x="1279626" y="1396371"/>
          <a:ext cx="2593053" cy="897883"/>
          <a:chOff x="1277518" y="1360039"/>
          <a:chExt cx="2584619" cy="871932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F936AB31-CBEE-D374-2958-46461C8A84D8}"/>
              </a:ext>
            </a:extLst>
          </xdr:cNvPr>
          <xdr:cNvSpPr/>
        </xdr:nvSpPr>
        <xdr:spPr>
          <a:xfrm>
            <a:off x="1277518" y="1360039"/>
            <a:ext cx="2584619" cy="871932"/>
          </a:xfrm>
          <a:prstGeom prst="roundRect">
            <a:avLst/>
          </a:prstGeom>
          <a:gradFill flip="none" rotWithShape="1">
            <a:gsLst>
              <a:gs pos="64000">
                <a:srgbClr val="0EA7EC"/>
              </a:gs>
              <a:gs pos="90000">
                <a:srgbClr val="45C2E9"/>
              </a:gs>
              <a:gs pos="15000">
                <a:srgbClr val="062542"/>
              </a:gs>
            </a:gsLst>
            <a:lin ang="5400000" scaled="1"/>
            <a:tileRect/>
          </a:gradFill>
          <a:ln/>
          <a:effectLst>
            <a:glow rad="101600">
              <a:schemeClr val="accent4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Total</a:t>
            </a:r>
            <a:r>
              <a:rPr lang="en-US" sz="1200" b="1" cap="none" spc="50" baseline="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 </a:t>
            </a:r>
            <a:r>
              <a:rPr lang="en-US" sz="1400" b="1" cap="none" spc="50" baseline="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Students</a:t>
            </a:r>
            <a:endParaRPr lang="en-US" sz="20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endParaRPr>
          </a:p>
        </xdr:txBody>
      </xdr:sp>
      <xdr:sp macro="" textlink="Dashboard!B2">
        <xdr:nvSpPr>
          <xdr:cNvPr id="45" name="TextBox 44">
            <a:extLst>
              <a:ext uri="{FF2B5EF4-FFF2-40B4-BE49-F238E27FC236}">
                <a16:creationId xmlns:a16="http://schemas.microsoft.com/office/drawing/2014/main" id="{68B48584-1EC8-9D7B-F1FC-5FBE1433B184}"/>
              </a:ext>
            </a:extLst>
          </xdr:cNvPr>
          <xdr:cNvSpPr txBox="1"/>
        </xdr:nvSpPr>
        <xdr:spPr>
          <a:xfrm>
            <a:off x="2091808" y="1645956"/>
            <a:ext cx="721006" cy="422791"/>
          </a:xfrm>
          <a:prstGeom prst="rect">
            <a:avLst/>
          </a:prstGeom>
          <a:noFill/>
          <a:ln>
            <a:noFill/>
          </a:ln>
          <a:effectLst>
            <a:glow rad="63500">
              <a:schemeClr val="accent1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325834D6-071F-4D92-89D7-0F4B47FD0E66}" type="TxLink">
              <a:rPr lang="en-US" sz="2000" b="1" cap="none" spc="50">
                <a:ln w="3175">
                  <a:noFill/>
                </a:ln>
                <a:solidFill>
                  <a:schemeClr val="bg1"/>
                </a:solidFill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astellar" panose="020A0402060406010301" pitchFamily="18" charset="0"/>
                <a:ea typeface="+mn-ea"/>
                <a:cs typeface="+mn-cs"/>
              </a:rPr>
              <a:pPr marL="0" indent="0" algn="ctr"/>
              <a:t>111</a:t>
            </a:fld>
            <a:endParaRPr lang="en-IN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380986</xdr:colOff>
      <xdr:row>7</xdr:row>
      <xdr:rowOff>108854</xdr:rowOff>
    </xdr:from>
    <xdr:to>
      <xdr:col>14</xdr:col>
      <xdr:colOff>293901</xdr:colOff>
      <xdr:row>12</xdr:row>
      <xdr:rowOff>87082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62D04D72-8670-05E4-71E5-6E425E070CB6}"/>
            </a:ext>
          </a:extLst>
        </xdr:cNvPr>
        <xdr:cNvGrpSpPr/>
      </xdr:nvGrpSpPr>
      <xdr:grpSpPr>
        <a:xfrm>
          <a:off x="7081331" y="1396371"/>
          <a:ext cx="2593053" cy="897883"/>
          <a:chOff x="7060245" y="1360039"/>
          <a:chExt cx="2584619" cy="871932"/>
        </a:xfrm>
      </xdr:grpSpPr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9CC00830-7920-4868-A092-D1B7D445376E}"/>
              </a:ext>
            </a:extLst>
          </xdr:cNvPr>
          <xdr:cNvSpPr/>
        </xdr:nvSpPr>
        <xdr:spPr>
          <a:xfrm>
            <a:off x="7060245" y="1360039"/>
            <a:ext cx="2584619" cy="871932"/>
          </a:xfrm>
          <a:prstGeom prst="roundRect">
            <a:avLst/>
          </a:prstGeom>
          <a:gradFill flip="none" rotWithShape="1">
            <a:gsLst>
              <a:gs pos="64000">
                <a:srgbClr val="0EA7EC"/>
              </a:gs>
              <a:gs pos="90000">
                <a:srgbClr val="45C2E9"/>
              </a:gs>
              <a:gs pos="15000">
                <a:srgbClr val="062542"/>
              </a:gs>
            </a:gsLst>
            <a:lin ang="5400000" scaled="1"/>
            <a:tileRect/>
          </a:gradFill>
          <a:ln/>
          <a:effectLst>
            <a:glow rad="101600">
              <a:schemeClr val="accent4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today's out</a:t>
            </a:r>
            <a:endParaRPr lang="en-US" sz="20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endParaRPr>
          </a:p>
        </xdr:txBody>
      </xdr:sp>
      <xdr:sp macro="" textlink="Dashboard!B4">
        <xdr:nvSpPr>
          <xdr:cNvPr id="25" name="TextBox 24">
            <a:extLst>
              <a:ext uri="{FF2B5EF4-FFF2-40B4-BE49-F238E27FC236}">
                <a16:creationId xmlns:a16="http://schemas.microsoft.com/office/drawing/2014/main" id="{2F3DE4D0-E526-435F-B9A0-64360B1169DF}"/>
              </a:ext>
            </a:extLst>
          </xdr:cNvPr>
          <xdr:cNvSpPr txBox="1"/>
        </xdr:nvSpPr>
        <xdr:spPr>
          <a:xfrm>
            <a:off x="7906458" y="1663292"/>
            <a:ext cx="729541" cy="422791"/>
          </a:xfrm>
          <a:prstGeom prst="rect">
            <a:avLst/>
          </a:prstGeom>
          <a:noFill/>
          <a:ln>
            <a:noFill/>
          </a:ln>
          <a:effectLst>
            <a:glow rad="63500">
              <a:schemeClr val="accent1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27AB772E-A3AF-4F0F-BE47-6D7857D1ED84}" type="TxLink">
              <a:rPr lang="en-US" sz="2000" b="1" cap="none" spc="50">
                <a:ln w="3175">
                  <a:noFill/>
                </a:ln>
                <a:solidFill>
                  <a:schemeClr val="bg1"/>
                </a:solidFill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astellar" panose="020A0402060406010301" pitchFamily="18" charset="0"/>
                <a:ea typeface="+mn-ea"/>
                <a:cs typeface="+mn-cs"/>
              </a:rPr>
              <a:pPr marL="0" indent="0" algn="ctr"/>
              <a:t>0</a:t>
            </a:fld>
            <a:endParaRPr lang="en-IN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576936</xdr:colOff>
      <xdr:row>7</xdr:row>
      <xdr:rowOff>119740</xdr:rowOff>
    </xdr:from>
    <xdr:to>
      <xdr:col>22</xdr:col>
      <xdr:colOff>446308</xdr:colOff>
      <xdr:row>12</xdr:row>
      <xdr:rowOff>97968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ACC4E20D-9341-5FB9-0C82-BE601A7D4DB0}"/>
            </a:ext>
          </a:extLst>
        </xdr:cNvPr>
        <xdr:cNvGrpSpPr/>
      </xdr:nvGrpSpPr>
      <xdr:grpSpPr>
        <a:xfrm>
          <a:off x="9957419" y="1407257"/>
          <a:ext cx="2602061" cy="897883"/>
          <a:chOff x="9927899" y="1370925"/>
          <a:chExt cx="2597520" cy="871932"/>
        </a:xfrm>
      </xdr:grpSpPr>
      <xdr:sp macro="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ECA56924-63A0-48A0-AB81-47EC96C02C1A}"/>
              </a:ext>
            </a:extLst>
          </xdr:cNvPr>
          <xdr:cNvSpPr/>
        </xdr:nvSpPr>
        <xdr:spPr>
          <a:xfrm>
            <a:off x="9927899" y="1370925"/>
            <a:ext cx="2597520" cy="871932"/>
          </a:xfrm>
          <a:prstGeom prst="roundRect">
            <a:avLst/>
          </a:prstGeom>
          <a:gradFill flip="none" rotWithShape="1">
            <a:gsLst>
              <a:gs pos="64000">
                <a:srgbClr val="0EA7EC"/>
              </a:gs>
              <a:gs pos="90000">
                <a:srgbClr val="45C2E9"/>
              </a:gs>
              <a:gs pos="15000">
                <a:srgbClr val="062542"/>
              </a:gs>
            </a:gsLst>
            <a:lin ang="5400000" scaled="1"/>
            <a:tileRect/>
          </a:gradFill>
          <a:ln/>
          <a:effectLst>
            <a:glow rad="101600">
              <a:schemeClr val="accent4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  <a:ea typeface="+mn-ea"/>
                <a:cs typeface="+mn-cs"/>
              </a:rPr>
              <a:t>today's Entry's </a:t>
            </a:r>
            <a:endParaRPr lang="en-IN" sz="14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  <a:ea typeface="+mn-ea"/>
              <a:cs typeface="+mn-cs"/>
            </a:endParaRPr>
          </a:p>
        </xdr:txBody>
      </xdr:sp>
      <xdr:sp macro="" textlink="Dashboard!B5">
        <xdr:nvSpPr>
          <xdr:cNvPr id="26" name="TextBox 25">
            <a:extLst>
              <a:ext uri="{FF2B5EF4-FFF2-40B4-BE49-F238E27FC236}">
                <a16:creationId xmlns:a16="http://schemas.microsoft.com/office/drawing/2014/main" id="{D1B88C75-D080-4BD7-A9D4-896D50F70CF2}"/>
              </a:ext>
            </a:extLst>
          </xdr:cNvPr>
          <xdr:cNvSpPr txBox="1"/>
        </xdr:nvSpPr>
        <xdr:spPr>
          <a:xfrm>
            <a:off x="10779915" y="1656840"/>
            <a:ext cx="885270" cy="422791"/>
          </a:xfrm>
          <a:prstGeom prst="rect">
            <a:avLst/>
          </a:prstGeom>
          <a:noFill/>
          <a:ln>
            <a:noFill/>
          </a:ln>
          <a:effectLst>
            <a:glow rad="63500">
              <a:schemeClr val="accent1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6E30BBA7-3CEE-4403-A257-133F776125E4}" type="TxLink">
              <a:rPr lang="en-US" sz="2000" b="1" cap="none" spc="50">
                <a:ln w="3175">
                  <a:noFill/>
                </a:ln>
                <a:solidFill>
                  <a:schemeClr val="bg1"/>
                </a:solidFill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astellar" panose="020A0402060406010301" pitchFamily="18" charset="0"/>
                <a:ea typeface="+mn-ea"/>
                <a:cs typeface="+mn-cs"/>
              </a:rPr>
              <a:pPr marL="0" indent="0" algn="ctr"/>
              <a:t>0</a:t>
            </a:fld>
            <a:endParaRPr lang="en-IN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6</xdr:col>
      <xdr:colOff>195942</xdr:colOff>
      <xdr:row>7</xdr:row>
      <xdr:rowOff>119740</xdr:rowOff>
    </xdr:from>
    <xdr:to>
      <xdr:col>10</xdr:col>
      <xdr:colOff>108857</xdr:colOff>
      <xdr:row>12</xdr:row>
      <xdr:rowOff>97968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F42E24EA-6731-FF6A-8808-B701DFCD77CD}"/>
            </a:ext>
          </a:extLst>
        </xdr:cNvPr>
        <xdr:cNvGrpSpPr/>
      </xdr:nvGrpSpPr>
      <xdr:grpSpPr>
        <a:xfrm>
          <a:off x="4216149" y="1407257"/>
          <a:ext cx="2593053" cy="897883"/>
          <a:chOff x="4203498" y="1370925"/>
          <a:chExt cx="2584618" cy="871932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FF01AB20-A204-4716-9F87-590D6E6452D1}"/>
              </a:ext>
            </a:extLst>
          </xdr:cNvPr>
          <xdr:cNvSpPr/>
        </xdr:nvSpPr>
        <xdr:spPr>
          <a:xfrm>
            <a:off x="4203498" y="1370925"/>
            <a:ext cx="2584618" cy="871932"/>
          </a:xfrm>
          <a:prstGeom prst="roundRect">
            <a:avLst/>
          </a:prstGeom>
          <a:gradFill flip="none" rotWithShape="1">
            <a:gsLst>
              <a:gs pos="64000">
                <a:srgbClr val="0EA7EC"/>
              </a:gs>
              <a:gs pos="90000">
                <a:srgbClr val="45C2E9"/>
              </a:gs>
              <a:gs pos="15000">
                <a:srgbClr val="062542"/>
              </a:gs>
            </a:gsLst>
            <a:lin ang="5400000" scaled="1"/>
            <a:tileRect/>
          </a:gradFill>
          <a:ln/>
          <a:effectLst>
            <a:glow rad="101600">
              <a:schemeClr val="accent4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Today's</a:t>
            </a:r>
            <a:r>
              <a:rPr lang="en-US" sz="1400" b="1" cap="none" spc="50" baseline="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 in </a:t>
            </a:r>
            <a:endParaRPr lang="en-US" sz="20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endParaRPr>
          </a:p>
        </xdr:txBody>
      </xdr:sp>
      <xdr:sp macro="" textlink="Dashboard!B3">
        <xdr:nvSpPr>
          <xdr:cNvPr id="27" name="TextBox 26">
            <a:extLst>
              <a:ext uri="{FF2B5EF4-FFF2-40B4-BE49-F238E27FC236}">
                <a16:creationId xmlns:a16="http://schemas.microsoft.com/office/drawing/2014/main" id="{CFBA0E6F-1787-415E-981C-4E24FC529892}"/>
              </a:ext>
            </a:extLst>
          </xdr:cNvPr>
          <xdr:cNvSpPr txBox="1"/>
        </xdr:nvSpPr>
        <xdr:spPr>
          <a:xfrm>
            <a:off x="5027719" y="1644476"/>
            <a:ext cx="757835" cy="422791"/>
          </a:xfrm>
          <a:prstGeom prst="rect">
            <a:avLst/>
          </a:prstGeom>
          <a:noFill/>
          <a:ln>
            <a:noFill/>
          </a:ln>
          <a:effectLst>
            <a:glow rad="63500">
              <a:schemeClr val="accent1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E2BAF56D-3B6E-4EED-A4F2-0D15A185720A}" type="TxLink">
              <a:rPr lang="en-US" sz="2000" b="1" cap="none" spc="50">
                <a:ln w="3175">
                  <a:noFill/>
                </a:ln>
                <a:solidFill>
                  <a:schemeClr val="bg1"/>
                </a:solidFill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astellar" panose="020A0402060406010301" pitchFamily="18" charset="0"/>
                <a:ea typeface="+mn-ea"/>
                <a:cs typeface="+mn-cs"/>
              </a:rPr>
              <a:pPr marL="0" indent="0" algn="ctr"/>
              <a:t>0</a:t>
            </a:fld>
            <a:endParaRPr lang="en-IN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557858</xdr:colOff>
      <xdr:row>0</xdr:row>
      <xdr:rowOff>50714</xdr:rowOff>
    </xdr:from>
    <xdr:to>
      <xdr:col>23</xdr:col>
      <xdr:colOff>403577</xdr:colOff>
      <xdr:row>6</xdr:row>
      <xdr:rowOff>13173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B3928D6B-BB54-5218-53DF-2CF98A3F21A0}"/>
            </a:ext>
          </a:extLst>
        </xdr:cNvPr>
        <xdr:cNvGrpSpPr/>
      </xdr:nvGrpSpPr>
      <xdr:grpSpPr>
        <a:xfrm>
          <a:off x="557858" y="50714"/>
          <a:ext cx="12628926" cy="1066045"/>
          <a:chOff x="557858" y="51345"/>
          <a:chExt cx="12723519" cy="1072171"/>
        </a:xfrm>
        <a:gradFill>
          <a:gsLst>
            <a:gs pos="100000">
              <a:schemeClr val="accent2">
                <a:lumMod val="60000"/>
                <a:lumOff val="40000"/>
              </a:schemeClr>
            </a:gs>
            <a:gs pos="9000">
              <a:schemeClr val="accent1">
                <a:lumMod val="45000"/>
                <a:lumOff val="55000"/>
              </a:schemeClr>
            </a:gs>
            <a:gs pos="58000">
              <a:schemeClr val="accent2">
                <a:lumMod val="60000"/>
                <a:lumOff val="40000"/>
              </a:schemeClr>
            </a:gs>
          </a:gsLst>
          <a:lin ang="5400000" scaled="1"/>
        </a:gradFill>
      </xdr:grpSpPr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5BC28923-3D3A-914D-1D0A-04A9E2B9B12D}"/>
              </a:ext>
            </a:extLst>
          </xdr:cNvPr>
          <xdr:cNvGrpSpPr/>
        </xdr:nvGrpSpPr>
        <xdr:grpSpPr>
          <a:xfrm>
            <a:off x="557858" y="51345"/>
            <a:ext cx="12723519" cy="1072171"/>
            <a:chOff x="0" y="21772"/>
            <a:chExt cx="13868400" cy="2035629"/>
          </a:xfrm>
          <a:grpFill/>
        </xdr:grpSpPr>
        <xdr:sp macro="" textlink="">
          <xdr:nvSpPr>
            <xdr:cNvPr id="16" name="Rectangle: Rounded Corners 15">
              <a:extLst>
                <a:ext uri="{FF2B5EF4-FFF2-40B4-BE49-F238E27FC236}">
                  <a16:creationId xmlns:a16="http://schemas.microsoft.com/office/drawing/2014/main" id="{EDD0585A-505E-66D7-14C4-338684547C30}"/>
                </a:ext>
              </a:extLst>
            </xdr:cNvPr>
            <xdr:cNvSpPr/>
          </xdr:nvSpPr>
          <xdr:spPr>
            <a:xfrm>
              <a:off x="0" y="21772"/>
              <a:ext cx="13868400" cy="2035629"/>
            </a:xfrm>
            <a:prstGeom prst="roundRect">
              <a:avLst/>
            </a:prstGeom>
            <a:grpFill/>
            <a:scene3d>
              <a:camera prst="orthographicFront"/>
              <a:lightRig rig="threePt" dir="t"/>
            </a:scene3d>
            <a:sp3d>
              <a:bevelT w="165100" prst="coolSlant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76257E67-BC3B-92E2-176B-129C168EAC3F}"/>
                </a:ext>
              </a:extLst>
            </xdr:cNvPr>
            <xdr:cNvSpPr txBox="1"/>
          </xdr:nvSpPr>
          <xdr:spPr>
            <a:xfrm>
              <a:off x="2920471" y="108780"/>
              <a:ext cx="8528733" cy="8683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3200">
                  <a:solidFill>
                    <a:schemeClr val="accent2">
                      <a:lumMod val="50000"/>
                    </a:schemeClr>
                  </a:solidFill>
                  <a:latin typeface="Algerian" panose="04020705040A02060702" pitchFamily="82" charset="0"/>
                </a:rPr>
                <a:t>STUDENT</a:t>
              </a:r>
              <a:r>
                <a:rPr lang="en-IN" sz="3200" baseline="0">
                  <a:solidFill>
                    <a:schemeClr val="accent2">
                      <a:lumMod val="50000"/>
                    </a:schemeClr>
                  </a:solidFill>
                  <a:latin typeface="Algerian" panose="04020705040A02060702" pitchFamily="82" charset="0"/>
                </a:rPr>
                <a:t> IN OUT management SYSTEM</a:t>
              </a:r>
              <a:endParaRPr lang="en-IN" sz="3200">
                <a:solidFill>
                  <a:schemeClr val="accent2">
                    <a:lumMod val="50000"/>
                  </a:schemeClr>
                </a:solidFill>
                <a:latin typeface="Algerian" panose="04020705040A02060702" pitchFamily="82" charset="0"/>
              </a:endParaRPr>
            </a:p>
          </xdr:txBody>
        </xdr: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9707BA5F-E12B-46FB-B3D6-56635296CF52}"/>
                </a:ext>
              </a:extLst>
            </xdr:cNvPr>
            <xdr:cNvSpPr txBox="1"/>
          </xdr:nvSpPr>
          <xdr:spPr>
            <a:xfrm>
              <a:off x="4052964" y="1070479"/>
              <a:ext cx="6658851" cy="5452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>
                  <a:solidFill>
                    <a:schemeClr val="accent2">
                      <a:lumMod val="50000"/>
                    </a:schemeClr>
                  </a:solidFill>
                  <a:latin typeface="Century" panose="02040604050505020304" pitchFamily="18" charset="0"/>
                  <a:cs typeface="Angsana New" panose="02020603050405020304" pitchFamily="18" charset="-34"/>
                </a:rPr>
                <a:t>Tracking Student</a:t>
              </a:r>
              <a:r>
                <a:rPr lang="en-IN" sz="1400" baseline="0">
                  <a:solidFill>
                    <a:schemeClr val="accent2">
                      <a:lumMod val="50000"/>
                    </a:schemeClr>
                  </a:solidFill>
                  <a:latin typeface="Century" panose="02040604050505020304" pitchFamily="18" charset="0"/>
                  <a:cs typeface="Angsana New" panose="02020603050405020304" pitchFamily="18" charset="-34"/>
                </a:rPr>
                <a:t> movement for safety and accountability</a:t>
              </a:r>
              <a:endParaRPr lang="en-IN" sz="1400">
                <a:solidFill>
                  <a:schemeClr val="accent2">
                    <a:lumMod val="50000"/>
                  </a:schemeClr>
                </a:solidFill>
                <a:latin typeface="Century" panose="02040604050505020304" pitchFamily="18" charset="0"/>
                <a:cs typeface="Angsana New" panose="02020603050405020304" pitchFamily="18" charset="-34"/>
              </a:endParaRPr>
            </a:p>
          </xdr:txBody>
        </xdr:sp>
      </xdr:grpSp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B78ECAA2-0F7D-3CF4-C6EA-0A87E6BAE7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8059" y="185058"/>
            <a:ext cx="838200" cy="838200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7</xdr:col>
      <xdr:colOff>476223</xdr:colOff>
      <xdr:row>22</xdr:row>
      <xdr:rowOff>105133</xdr:rowOff>
    </xdr:from>
    <xdr:to>
      <xdr:col>13</xdr:col>
      <xdr:colOff>2656</xdr:colOff>
      <xdr:row>37</xdr:row>
      <xdr:rowOff>92098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7C3C46E-6D71-0169-2A46-39A012398555}"/>
            </a:ext>
          </a:extLst>
        </xdr:cNvPr>
        <xdr:cNvGrpSpPr/>
      </xdr:nvGrpSpPr>
      <xdr:grpSpPr>
        <a:xfrm>
          <a:off x="5166464" y="4151616"/>
          <a:ext cx="3546640" cy="2745930"/>
          <a:chOff x="5189990" y="4198668"/>
          <a:chExt cx="3566806" cy="2778011"/>
        </a:xfrm>
      </xdr:grpSpPr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D9F41FB2-4AC7-53D7-3D17-3BDBEE619B90}"/>
              </a:ext>
            </a:extLst>
          </xdr:cNvPr>
          <xdr:cNvGrpSpPr/>
        </xdr:nvGrpSpPr>
        <xdr:grpSpPr>
          <a:xfrm>
            <a:off x="5197912" y="4202201"/>
            <a:ext cx="1726881" cy="544757"/>
            <a:chOff x="5200524" y="4167319"/>
            <a:chExt cx="1728000" cy="540000"/>
          </a:xfrm>
        </xdr:grpSpPr>
        <xdr:sp macro="[0]!inOutStud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CD1C1852-08F2-401E-8B25-2092B281CA3E}"/>
                </a:ext>
              </a:extLst>
            </xdr:cNvPr>
            <xdr:cNvSpPr/>
          </xdr:nvSpPr>
          <xdr:spPr>
            <a:xfrm>
              <a:off x="5200524" y="4167319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IN/OUT</a:t>
              </a:r>
            </a:p>
          </xdr:txBody>
        </xdr:sp>
        <xdr:pic macro="[0]!inOutStud">
          <xdr:nvPicPr>
            <xdr:cNvPr id="29" name="Graphic 28" descr="Transfer with solid fill">
              <a:extLst>
                <a:ext uri="{FF2B5EF4-FFF2-40B4-BE49-F238E27FC236}">
                  <a16:creationId xmlns:a16="http://schemas.microsoft.com/office/drawing/2014/main" id="{961C9F49-0809-9FBF-EDC7-F5BF04C6376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5516782" y="4319966"/>
              <a:ext cx="209654" cy="21193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C5DDE897-CF1B-6A5D-2FCB-557FFD7E8A4E}"/>
              </a:ext>
            </a:extLst>
          </xdr:cNvPr>
          <xdr:cNvGrpSpPr/>
        </xdr:nvGrpSpPr>
        <xdr:grpSpPr>
          <a:xfrm>
            <a:off x="5197166" y="6431923"/>
            <a:ext cx="1726881" cy="544756"/>
            <a:chOff x="5199778" y="6378014"/>
            <a:chExt cx="1728000" cy="540000"/>
          </a:xfrm>
        </xdr:grpSpPr>
        <xdr:sp macro="[0]!ShowSheets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4D26EC9F-3E3D-D018-2DA4-6096C82DF972}"/>
                </a:ext>
              </a:extLst>
            </xdr:cNvPr>
            <xdr:cNvSpPr/>
          </xdr:nvSpPr>
          <xdr:spPr>
            <a:xfrm>
              <a:off x="5199778" y="6378014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</a:t>
              </a:r>
              <a:r>
                <a:rPr lang="en-IN" sz="1000" b="1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</a:t>
              </a:r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Show sheets</a:t>
              </a:r>
            </a:p>
          </xdr:txBody>
        </xdr:sp>
        <xdr:pic macro="[0]!ShowSheets">
          <xdr:nvPicPr>
            <xdr:cNvPr id="38" name="Graphic 37" descr="Eyes with solid fill">
              <a:extLst>
                <a:ext uri="{FF2B5EF4-FFF2-40B4-BE49-F238E27FC236}">
                  <a16:creationId xmlns:a16="http://schemas.microsoft.com/office/drawing/2014/main" id="{903DACF0-4A1F-5D07-9D50-B2510309F78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5370635" y="6479797"/>
              <a:ext cx="332333" cy="334885"/>
            </a:xfrm>
            <a:prstGeom prst="rect">
              <a:avLst/>
            </a:prstGeom>
          </xdr:spPr>
        </xdr:pic>
      </xdr:grpSp>
      <xdr:grpSp>
        <xdr:nvGrpSpPr>
          <xdr:cNvPr id="84" name="Group 83">
            <a:extLst>
              <a:ext uri="{FF2B5EF4-FFF2-40B4-BE49-F238E27FC236}">
                <a16:creationId xmlns:a16="http://schemas.microsoft.com/office/drawing/2014/main" id="{C2004A2C-2B14-6BF5-7DBF-62778FA4AE54}"/>
              </a:ext>
            </a:extLst>
          </xdr:cNvPr>
          <xdr:cNvGrpSpPr/>
        </xdr:nvGrpSpPr>
        <xdr:grpSpPr>
          <a:xfrm>
            <a:off x="7021523" y="6427894"/>
            <a:ext cx="1727254" cy="544756"/>
            <a:chOff x="7025254" y="6373985"/>
            <a:chExt cx="1728000" cy="540000"/>
          </a:xfrm>
        </xdr:grpSpPr>
        <xdr:sp macro="[0]!exitApp.exitApp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9A1AC88-F807-60C1-E419-613FA406CA55}"/>
                </a:ext>
              </a:extLst>
            </xdr:cNvPr>
            <xdr:cNvSpPr/>
          </xdr:nvSpPr>
          <xdr:spPr>
            <a:xfrm>
              <a:off x="7025254" y="6373985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marL="0" indent="0"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 Exit Application</a:t>
              </a:r>
            </a:p>
          </xdr:txBody>
        </xdr:sp>
        <xdr:pic>
          <xdr:nvPicPr>
            <xdr:cNvPr id="41" name="Graphic 40" descr="Back with solid fill">
              <a:extLst>
                <a:ext uri="{FF2B5EF4-FFF2-40B4-BE49-F238E27FC236}">
                  <a16:creationId xmlns:a16="http://schemas.microsoft.com/office/drawing/2014/main" id="{43D22A7D-2B1C-4431-5C47-9B44940DA51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7228640" y="6486632"/>
              <a:ext cx="287087" cy="29015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90" name="Group 89">
            <a:extLst>
              <a:ext uri="{FF2B5EF4-FFF2-40B4-BE49-F238E27FC236}">
                <a16:creationId xmlns:a16="http://schemas.microsoft.com/office/drawing/2014/main" id="{CF60B9B1-9196-C42F-16BC-2B0ED0EBC4BC}"/>
              </a:ext>
            </a:extLst>
          </xdr:cNvPr>
          <xdr:cNvGrpSpPr/>
        </xdr:nvGrpSpPr>
        <xdr:grpSpPr>
          <a:xfrm>
            <a:off x="7029914" y="4198668"/>
            <a:ext cx="1726882" cy="544757"/>
            <a:chOff x="7033645" y="4163786"/>
            <a:chExt cx="1728000" cy="540000"/>
          </a:xfrm>
        </xdr:grpSpPr>
        <xdr:sp macro="[0]!OpenAddStudent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9F8CC03B-CDFC-A01A-791D-7C1C83C23471}"/>
                </a:ext>
              </a:extLst>
            </xdr:cNvPr>
            <xdr:cNvSpPr/>
          </xdr:nvSpPr>
          <xdr:spPr>
            <a:xfrm>
              <a:off x="7033645" y="4163786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Add Student</a:t>
              </a:r>
            </a:p>
          </xdr:txBody>
        </xdr:sp>
        <xdr:pic macro="[0]!OpenAddStudent">
          <xdr:nvPicPr>
            <xdr:cNvPr id="43" name="Graphic 42" descr="Close with solid fill">
              <a:extLst>
                <a:ext uri="{FF2B5EF4-FFF2-40B4-BE49-F238E27FC236}">
                  <a16:creationId xmlns:a16="http://schemas.microsoft.com/office/drawing/2014/main" id="{7FB85A8F-6BA5-8CAA-01AD-32044B4663C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 rot="2580034" flipV="1">
              <a:off x="7298066" y="4311307"/>
              <a:ext cx="235581" cy="23534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86" name="Group 85">
            <a:extLst>
              <a:ext uri="{FF2B5EF4-FFF2-40B4-BE49-F238E27FC236}">
                <a16:creationId xmlns:a16="http://schemas.microsoft.com/office/drawing/2014/main" id="{F34796CD-E9E8-87C2-41D1-7E06202ACAA8}"/>
              </a:ext>
            </a:extLst>
          </xdr:cNvPr>
          <xdr:cNvGrpSpPr/>
        </xdr:nvGrpSpPr>
        <xdr:grpSpPr>
          <a:xfrm>
            <a:off x="7029532" y="5684816"/>
            <a:ext cx="1726882" cy="544756"/>
            <a:chOff x="7033263" y="5637249"/>
            <a:chExt cx="1728000" cy="540000"/>
          </a:xfrm>
        </xdr:grpSpPr>
        <xdr:sp macro="[0]!OpenExportAttendance" textlink="">
          <xdr:nvSpPr>
            <xdr:cNvPr id="4" name="Rectangle: Rounded Corners 3">
              <a:extLst>
                <a:ext uri="{FF2B5EF4-FFF2-40B4-BE49-F238E27FC236}">
                  <a16:creationId xmlns:a16="http://schemas.microsoft.com/office/drawing/2014/main" id="{CA41B6DC-3E6B-4436-84E9-1CAA9FA7D301}"/>
                </a:ext>
              </a:extLst>
            </xdr:cNvPr>
            <xdr:cNvSpPr/>
          </xdr:nvSpPr>
          <xdr:spPr>
            <a:xfrm>
              <a:off x="7033263" y="5637249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 Export Data</a:t>
              </a:r>
            </a:p>
          </xdr:txBody>
        </xdr:sp>
        <xdr:pic macro="[0]!OpenExportAttendance">
          <xdr:nvPicPr>
            <xdr:cNvPr id="46" name="Graphic 45" descr="Cloud Computing with solid fill">
              <a:extLst>
                <a:ext uri="{FF2B5EF4-FFF2-40B4-BE49-F238E27FC236}">
                  <a16:creationId xmlns:a16="http://schemas.microsoft.com/office/drawing/2014/main" id="{8B8C8A59-340C-C9EA-04EF-2E8E395376A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7303351" y="5756310"/>
              <a:ext cx="292585" cy="295796"/>
            </a:xfrm>
            <a:prstGeom prst="rect">
              <a:avLst/>
            </a:prstGeom>
          </xdr:spPr>
        </xdr:pic>
      </xdr:grp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C92D5BEF-AE1C-7296-7092-A470E0697D7C}"/>
              </a:ext>
            </a:extLst>
          </xdr:cNvPr>
          <xdr:cNvGrpSpPr/>
        </xdr:nvGrpSpPr>
        <xdr:grpSpPr>
          <a:xfrm>
            <a:off x="7021095" y="4945815"/>
            <a:ext cx="1727254" cy="544756"/>
            <a:chOff x="7024826" y="4904590"/>
            <a:chExt cx="1728000" cy="540000"/>
          </a:xfrm>
        </xdr:grpSpPr>
        <xdr:sp macro="[0]!OpenEditStudent" textlink="">
          <xdr:nvSpPr>
            <xdr:cNvPr id="7" name="Rectangle: Rounded Corners 6">
              <a:extLst>
                <a:ext uri="{FF2B5EF4-FFF2-40B4-BE49-F238E27FC236}">
                  <a16:creationId xmlns:a16="http://schemas.microsoft.com/office/drawing/2014/main" id="{C0708B92-448D-451C-B1A4-97328869DD41}"/>
                </a:ext>
              </a:extLst>
            </xdr:cNvPr>
            <xdr:cNvSpPr/>
          </xdr:nvSpPr>
          <xdr:spPr>
            <a:xfrm>
              <a:off x="7024826" y="4904590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Edit</a:t>
              </a:r>
              <a:r>
                <a:rPr lang="en-IN" sz="1000" b="1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Student</a:t>
              </a:r>
              <a:endParaRPr lang="en-IN" sz="1000" b="1">
                <a:solidFill>
                  <a:schemeClr val="tx2">
                    <a:lumMod val="75000"/>
                    <a:lumOff val="25000"/>
                  </a:schemeClr>
                </a:solidFill>
                <a:latin typeface="Lucida Bright" panose="02040602050505020304" pitchFamily="18" charset="0"/>
                <a:ea typeface="+mn-ea"/>
                <a:cs typeface="+mn-cs"/>
              </a:endParaRPr>
            </a:p>
          </xdr:txBody>
        </xdr:sp>
        <xdr:pic macro="[0]!OpenEditStudent">
          <xdr:nvPicPr>
            <xdr:cNvPr id="50" name="Graphic 49" descr="Pencil with solid fill">
              <a:extLst>
                <a:ext uri="{FF2B5EF4-FFF2-40B4-BE49-F238E27FC236}">
                  <a16:creationId xmlns:a16="http://schemas.microsoft.com/office/drawing/2014/main" id="{9349790F-6A59-886D-4FA4-93BF321C918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7302005" y="5055989"/>
              <a:ext cx="229764" cy="232224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88" name="Group 87">
            <a:extLst>
              <a:ext uri="{FF2B5EF4-FFF2-40B4-BE49-F238E27FC236}">
                <a16:creationId xmlns:a16="http://schemas.microsoft.com/office/drawing/2014/main" id="{2D643328-82D5-A1A8-6C27-E0A49AB08CB3}"/>
              </a:ext>
            </a:extLst>
          </xdr:cNvPr>
          <xdr:cNvGrpSpPr/>
        </xdr:nvGrpSpPr>
        <xdr:grpSpPr>
          <a:xfrm>
            <a:off x="5195182" y="4949280"/>
            <a:ext cx="1726881" cy="544756"/>
            <a:chOff x="5197794" y="4908055"/>
            <a:chExt cx="1728000" cy="540000"/>
          </a:xfrm>
        </xdr:grpSpPr>
        <xdr:sp macro="[0]!OpenSearchStudent" textlink="">
          <xdr:nvSpPr>
            <xdr:cNvPr id="2" name="Rectangle: Rounded Corners 1">
              <a:extLst>
                <a:ext uri="{FF2B5EF4-FFF2-40B4-BE49-F238E27FC236}">
                  <a16:creationId xmlns:a16="http://schemas.microsoft.com/office/drawing/2014/main" id="{91A80002-7223-4369-B386-4EAB9B1FF01D}"/>
                </a:ext>
              </a:extLst>
            </xdr:cNvPr>
            <xdr:cNvSpPr/>
          </xdr:nvSpPr>
          <xdr:spPr>
            <a:xfrm>
              <a:off x="5197794" y="4908055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  Search Student</a:t>
              </a:r>
            </a:p>
          </xdr:txBody>
        </xdr:sp>
        <xdr:pic macro="[0]!OpenSearchStudent">
          <xdr:nvPicPr>
            <xdr:cNvPr id="52" name="Graphic 51" descr="Target Audience with solid fill">
              <a:extLst>
                <a:ext uri="{FF2B5EF4-FFF2-40B4-BE49-F238E27FC236}">
                  <a16:creationId xmlns:a16="http://schemas.microsoft.com/office/drawing/2014/main" id="{61903972-EAB8-3C4C-56E5-90C4F0E1E7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5406395" y="5044849"/>
              <a:ext cx="277694" cy="281130"/>
            </a:xfrm>
            <a:prstGeom prst="rect">
              <a:avLst/>
            </a:prstGeom>
          </xdr:spPr>
        </xdr:pic>
      </xdr:grpSp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D29E9B0C-7347-DF0B-9C6A-DD7731EFECAE}"/>
              </a:ext>
            </a:extLst>
          </xdr:cNvPr>
          <xdr:cNvGrpSpPr/>
        </xdr:nvGrpSpPr>
        <xdr:grpSpPr>
          <a:xfrm>
            <a:off x="5189990" y="5685951"/>
            <a:ext cx="1726881" cy="544756"/>
            <a:chOff x="5192602" y="5638384"/>
            <a:chExt cx="1728000" cy="540000"/>
          </a:xfrm>
        </xdr:grpSpPr>
        <xdr:sp macro="[0]!OpenDeleteStudent" textlink="">
          <xdr:nvSpPr>
            <xdr:cNvPr id="15" name="Rectangle: Rounded Corners 14">
              <a:extLst>
                <a:ext uri="{FF2B5EF4-FFF2-40B4-BE49-F238E27FC236}">
                  <a16:creationId xmlns:a16="http://schemas.microsoft.com/office/drawing/2014/main" id="{5A8A64DA-B160-4B30-B1DA-8E9EC1126261}"/>
                </a:ext>
              </a:extLst>
            </xdr:cNvPr>
            <xdr:cNvSpPr/>
          </xdr:nvSpPr>
          <xdr:spPr>
            <a:xfrm>
              <a:off x="5192602" y="5638384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Delete Student</a:t>
              </a:r>
              <a:endParaRPr lang="en-IN" sz="1000" b="1">
                <a:solidFill>
                  <a:schemeClr val="tx2">
                    <a:lumMod val="75000"/>
                    <a:lumOff val="25000"/>
                  </a:schemeClr>
                </a:solidFill>
                <a:latin typeface="Lucida Bright" panose="02040602050505020304" pitchFamily="18" charset="0"/>
                <a:ea typeface="+mn-ea"/>
                <a:cs typeface="+mn-cs"/>
              </a:endParaRPr>
            </a:p>
          </xdr:txBody>
        </xdr:sp>
        <xdr:pic macro="[0]!OpenDeleteStudent">
          <xdr:nvPicPr>
            <xdr:cNvPr id="82" name="Graphic 81" descr="Close with solid fill">
              <a:extLst>
                <a:ext uri="{FF2B5EF4-FFF2-40B4-BE49-F238E27FC236}">
                  <a16:creationId xmlns:a16="http://schemas.microsoft.com/office/drawing/2014/main" id="{D05D45B0-F712-4D87-9C0D-0FE24A930AE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 rot="5400000" flipV="1">
              <a:off x="5406198" y="5783172"/>
              <a:ext cx="224699" cy="22446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kit" refreshedDate="46202.83443599537" createdVersion="8" refreshedVersion="8" minRefreshableVersion="3" recordCount="112" xr:uid="{6E0A8D31-A6BB-47DF-9035-97B7D395CA1F}">
  <cacheSource type="worksheet">
    <worksheetSource ref="A1:F1000" sheet="Student_Data"/>
  </cacheSource>
  <cacheFields count="6">
    <cacheField name="Student_ID" numFmtId="0">
      <sharedItems containsBlank="1"/>
    </cacheField>
    <cacheField name="Name" numFmtId="0">
      <sharedItems containsBlank="1"/>
    </cacheField>
    <cacheField name="Mobile" numFmtId="0">
      <sharedItems containsString="0" containsBlank="1" containsNumber="1" containsInteger="1" minValue="9834512701" maxValue="9876501276"/>
    </cacheField>
    <cacheField name="Course" numFmtId="0">
      <sharedItems containsBlank="1" count="12">
        <s v="AI MACHINE LEARNING ENGINEER"/>
        <s v="AI - BUSINESS INTELLIGENCE ANALYSIS"/>
        <s v="CLOUD APPLICATION DEVELOPER"/>
        <s v="AUTOMOTIVE CAD TECHNICIAN"/>
        <s v="ASSEMBLY OPERATOR - RAC"/>
        <s v="ANALYST END POINT SECURITY CYBERSECURITY"/>
        <s v="ANALYST COMPLIANCE AUDIT- CYBERSECURITY"/>
        <s v="IOT - NETWORK SPECIALIST"/>
        <s v="ELECTRIC VEHICLE PRODUCT DESIGN ENGINEER"/>
        <s v="IOT - DOMAIN SPECIALIST"/>
        <s v="AUTOMOTIVE ASSEMBLY TECHNICIAN"/>
        <m/>
      </sharedItems>
    </cacheField>
    <cacheField name="Address" numFmtId="0">
      <sharedItems containsBlank="1"/>
    </cacheField>
    <cacheField name="Statu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">
  <r>
    <s v="ST1001"/>
    <s v="Aarav Rajesh Sharma"/>
    <n v="9876501201"/>
    <x v="0"/>
    <s v="Pune, Maharashtra"/>
    <s v="OUT"/>
  </r>
  <r>
    <s v="ST1002"/>
    <s v="Ananya Sunil Patil"/>
    <n v="9876501202"/>
    <x v="1"/>
    <s v="Nashik, Maharashtra"/>
    <s v="OUT"/>
  </r>
  <r>
    <s v="ST1003"/>
    <s v="Vivaan Sanjay Gupta"/>
    <n v="9876501203"/>
    <x v="2"/>
    <s v="Nagpur, Maharashtra"/>
    <s v="OUT"/>
  </r>
  <r>
    <s v="ST1004"/>
    <s v="Diya Mahesh Joshi"/>
    <n v="9876501204"/>
    <x v="1"/>
    <s v="Mumbai, Maharashtra"/>
    <s v="OUT"/>
  </r>
  <r>
    <s v="ST1005"/>
    <s v="Aditya Prakash Kulkarni"/>
    <n v="9876501205"/>
    <x v="1"/>
    <s v="Chhatrapati Sambhajinagar, Maharashtra"/>
    <s v="OUT"/>
  </r>
  <r>
    <s v="ST1006"/>
    <s v="Isha Vijay Deshmukh"/>
    <n v="9876501206"/>
    <x v="2"/>
    <s v="Jalna, Maharashtra"/>
    <s v="OUT"/>
  </r>
  <r>
    <s v="ST1007"/>
    <s v="Arjun Rakesh Mehta"/>
    <n v="9876501207"/>
    <x v="2"/>
    <s v="Pune, Maharashtra"/>
    <s v="OUT"/>
  </r>
  <r>
    <s v="ST1008"/>
    <s v="Kavya Manoj Singh"/>
    <n v="9876501208"/>
    <x v="1"/>
    <s v="Kolhapur, Maharashtra"/>
    <s v="OUT"/>
  </r>
  <r>
    <s v="ST1009"/>
    <s v="Rohan Suresh Nair"/>
    <n v="9876501209"/>
    <x v="0"/>
    <s v="Solapur, Maharashtra"/>
    <s v="OUT"/>
  </r>
  <r>
    <s v="ST1010"/>
    <s v="Sneha Dinesh Verma"/>
    <n v="9876501210"/>
    <x v="0"/>
    <s v="Satara, Maharashtra"/>
    <s v="OUT"/>
  </r>
  <r>
    <s v="ST1011"/>
    <s v="Karan Ashok Chavan"/>
    <n v="9876501211"/>
    <x v="1"/>
    <s v="Sangli, Maharashtra"/>
    <s v="OUT"/>
  </r>
  <r>
    <s v="ST1012"/>
    <s v="Priya Ramesh Yadav"/>
    <n v="9876501212"/>
    <x v="1"/>
    <s v="Ahmednagar, Maharashtra"/>
    <s v="OUT"/>
  </r>
  <r>
    <s v="ST1013"/>
    <s v="Rahul Dilip More"/>
    <n v="9876501213"/>
    <x v="1"/>
    <s v="Beed, Maharashtra"/>
    <s v="OUT"/>
  </r>
  <r>
    <s v="ST1014"/>
    <s v="Neha Anil Mishra"/>
    <n v="9876501214"/>
    <x v="2"/>
    <s v="Latur, Maharashtra"/>
    <s v="OUT"/>
  </r>
  <r>
    <s v="ST1015"/>
    <s v="Siddharth Mukesh Jain"/>
    <n v="9876501215"/>
    <x v="2"/>
    <s v="Akola, Maharashtra"/>
    <s v="OUT"/>
  </r>
  <r>
    <s v="ST1016"/>
    <s v="Pooja Shrikant Pawar"/>
    <n v="9876501216"/>
    <x v="0"/>
    <s v="Dharashiv, Maharashtra"/>
    <s v="OUT"/>
  </r>
  <r>
    <s v="ST1017"/>
    <s v="Akash Chandrakant Shinde"/>
    <n v="9876501217"/>
    <x v="2"/>
    <s v="Pune, Maharashtra"/>
    <s v="OUT"/>
  </r>
  <r>
    <s v="ST1018"/>
    <s v="Riya Amit Kapoor"/>
    <n v="9876501218"/>
    <x v="0"/>
    <s v="Thane, Maharashtra"/>
    <s v="OUT"/>
  </r>
  <r>
    <s v="ST1019"/>
    <s v="Nikhil Vinod Bhosale"/>
    <n v="9876501219"/>
    <x v="2"/>
    <s v="Jalgaon, Maharashtra"/>
    <s v="OUT"/>
  </r>
  <r>
    <s v="ST1020"/>
    <s v="Aditi Milind Kulkarni"/>
    <n v="9876501220"/>
    <x v="1"/>
    <s v="Amravati, Maharashtra"/>
    <s v="OUT"/>
  </r>
  <r>
    <s v="ST1021"/>
    <s v="Yash Ganesh Patil"/>
    <n v="9876501221"/>
    <x v="2"/>
    <s v="Pune, Maharashtra"/>
    <s v="OUT"/>
  </r>
  <r>
    <s v="ST1022"/>
    <s v="Meera Krishnan Iyer"/>
    <n v="9876501222"/>
    <x v="2"/>
    <s v="Navi Mumbai, Maharashtra"/>
    <s v="OUT"/>
  </r>
  <r>
    <s v="ST1023"/>
    <s v="Omkar Shashikant Jadhav"/>
    <n v="9876501223"/>
    <x v="1"/>
    <s v="Parbhani, Maharashtra"/>
    <s v="OUT"/>
  </r>
  <r>
    <s v="ST1024"/>
    <s v="Shruti Ravindra Naik"/>
    <n v="9876501224"/>
    <x v="0"/>
    <s v="Nanded, Maharashtra"/>
    <s v="OUT"/>
  </r>
  <r>
    <s v="ST1025"/>
    <s v="Harsh Deepak Agrawal"/>
    <n v="9876501225"/>
    <x v="0"/>
    <s v="Wardha, Maharashtra"/>
    <s v="OUT"/>
  </r>
  <r>
    <s v="ST1026"/>
    <s v="Sanika Uday Gokhale"/>
    <n v="9876501226"/>
    <x v="2"/>
    <s v="Chandrapur, Maharashtra"/>
    <s v="OUT"/>
  </r>
  <r>
    <s v="ST1027"/>
    <s v="Atharva Baban Salunkhe"/>
    <n v="9876501227"/>
    <x v="3"/>
    <s v="Ratnagiri, Maharashtra"/>
    <s v="OUT"/>
  </r>
  <r>
    <s v="ST1028"/>
    <s v="Tanvi Pravin Bendre"/>
    <n v="9876501228"/>
    <x v="4"/>
    <s v="Sindhudurg, Maharashtra"/>
    <s v="OUT"/>
  </r>
  <r>
    <s v="ST1029"/>
    <s v="Devendra Haribhau Kale"/>
    <n v="9876501229"/>
    <x v="5"/>
    <s v="Hingoli, Maharashtra"/>
    <s v="OUT"/>
  </r>
  <r>
    <s v="ST1030"/>
    <s v="Sakshi Narendra Thakur"/>
    <n v="9876501230"/>
    <x v="5"/>
    <s v="Washim, Maharashtra"/>
    <s v="OUT"/>
  </r>
  <r>
    <s v="ST1031"/>
    <s v="Pranav Santosh Raut"/>
    <n v="9876501231"/>
    <x v="6"/>
    <s v="Buldhana, Maharashtra"/>
    <s v="OUT"/>
  </r>
  <r>
    <s v="ST1032"/>
    <s v="Mansi Rajendra Choudhary"/>
    <n v="9876501232"/>
    <x v="7"/>
    <s v="Yavatmal, Maharashtra "/>
    <s v="OUT"/>
  </r>
  <r>
    <s v="ST1033"/>
    <s v="Tushar Subhash Khedekar"/>
    <n v="9876501233"/>
    <x v="0"/>
    <s v="Gondia, Maharashtra"/>
    <s v="OUT"/>
  </r>
  <r>
    <s v="ST1034"/>
    <s v="Nandini Srinivas Rao"/>
    <n v="9876501234"/>
    <x v="8"/>
    <s v="Gadchiroli, Maharashtra"/>
    <s v="OUT"/>
  </r>
  <r>
    <s v="ST1035"/>
    <s v="Abhishek Omprakash Tiwari"/>
    <n v="9876501235"/>
    <x v="3"/>
    <s v="Dhule, Maharashtra"/>
    <s v="OUT"/>
  </r>
  <r>
    <s v="ST1036"/>
    <s v="Muskan Imran Sheikh"/>
    <n v="9876501236"/>
    <x v="7"/>
    <s v="Pune, Maharashtra"/>
    <s v="OUT"/>
  </r>
  <r>
    <s v="ST1037"/>
    <s v="Rohit Sunil Jagtap"/>
    <n v="9876501237"/>
    <x v="8"/>
    <s v="Pune, Maharashtra"/>
    <s v="OUT"/>
  </r>
  <r>
    <s v="ST1038"/>
    <s v="Vaishnavi Prakash Pawar"/>
    <n v="9876501238"/>
    <x v="4"/>
    <s v="Ahilya Nagar, Maharashtra"/>
    <s v="OUT"/>
  </r>
  <r>
    <s v="ST1039"/>
    <s v="Saurabh Mahadev Shinde"/>
    <n v="9876501239"/>
    <x v="2"/>
    <s v="Chhatrapati Sambhajinagar, Maharashtra"/>
    <s v="OUT"/>
  </r>
  <r>
    <s v="ST1040"/>
    <s v="Snehal Vijay More"/>
    <n v="9876501240"/>
    <x v="3"/>
    <s v="Pune, Maharashtra"/>
    <s v="OUT"/>
  </r>
  <r>
    <s v="ST1041"/>
    <s v="Omkar Dnyaneshwar Bhosale"/>
    <n v="9876501241"/>
    <x v="8"/>
    <s v="Pune, Maharashtra"/>
    <s v="OUT"/>
  </r>
  <r>
    <s v="ST1042"/>
    <s v="Pooja Ashok Kale"/>
    <n v="9876501242"/>
    <x v="4"/>
    <s v="Ahilya Nagar, Maharashtra"/>
    <s v="OUT"/>
  </r>
  <r>
    <s v="ST1043"/>
    <s v="Tejas Shrikant Patil"/>
    <n v="9876501243"/>
    <x v="9"/>
    <s v="Chhatrapati Sambhajinagar, Maharashtra"/>
    <s v="OUT"/>
  </r>
  <r>
    <s v="ST1044"/>
    <s v="Aishwarya Ramesh Chavan"/>
    <n v="9876501244"/>
    <x v="7"/>
    <s v="Pune, Maharashtra"/>
    <s v="OUT"/>
  </r>
  <r>
    <s v="ST1045"/>
    <s v="Nilesh Anil Ghadge"/>
    <n v="9876501245"/>
    <x v="4"/>
    <s v="Pune, Maharashtra"/>
    <s v="OUT"/>
  </r>
  <r>
    <s v="ST1046"/>
    <s v="Prajakta Santosh Kadam"/>
    <n v="9876501246"/>
    <x v="5"/>
    <s v="Ahilya Nagar, Maharashtra"/>
    <s v="OUT"/>
  </r>
  <r>
    <s v="ST1047"/>
    <s v="Shubham Rajendra Gaikwad"/>
    <n v="9876501247"/>
    <x v="7"/>
    <s v="Chhatrapati Sambhajinagar, Maharashtra"/>
    <s v="OUT"/>
  </r>
  <r>
    <s v="ST1048"/>
    <s v="Komal Suresh Wagh"/>
    <n v="9876501248"/>
    <x v="4"/>
    <s v="Pune, Maharashtra"/>
    <s v="OUT"/>
  </r>
  <r>
    <s v="ST1049"/>
    <s v="Abhijit Dilip Thorat"/>
    <n v="9876501249"/>
    <x v="10"/>
    <s v="Pune, Maharashtra"/>
    <s v="OUT"/>
  </r>
  <r>
    <s v="ST1050"/>
    <s v="Rutuja Milind Jadhav"/>
    <n v="9876501250"/>
    <x v="3"/>
    <s v="Ahilya Nagar, Maharashtra"/>
    <s v="OUT"/>
  </r>
  <r>
    <s v="ST1051"/>
    <s v="Harshal Chandrakant Salve"/>
    <n v="9876501251"/>
    <x v="3"/>
    <s v="Chhatrapati Sambhajinagar, Maharashtra"/>
    <s v="OUT"/>
  </r>
  <r>
    <s v="ST1052"/>
    <s v="Sakshi Vinod Shingare"/>
    <n v="9876501252"/>
    <x v="10"/>
    <s v="Pune, Maharashtra"/>
    <s v="OUT"/>
  </r>
  <r>
    <s v="ST1053"/>
    <s v="Ganesh Baban Dhumal"/>
    <n v="9876501253"/>
    <x v="7"/>
    <s v="Pune, Maharashtra"/>
    <s v="OUT"/>
  </r>
  <r>
    <s v="ST1054"/>
    <s v="Nikita Subhash Bhise"/>
    <n v="9876501254"/>
    <x v="6"/>
    <s v="Ahilya Nagar, Maharashtra"/>
    <s v="OUT"/>
  </r>
  <r>
    <s v="ST1055"/>
    <s v="Amol Pandurang Kharat"/>
    <n v="9876501255"/>
    <x v="4"/>
    <s v="Chhatrapati Sambhajinagar, Maharashtra"/>
    <s v="OUT"/>
  </r>
  <r>
    <s v="ST1056"/>
    <s v="Shraddha Sharad Gorde"/>
    <n v="9876501256"/>
    <x v="6"/>
    <s v="Pune, Maharashtra"/>
    <s v="OUT"/>
  </r>
  <r>
    <s v="ST1057"/>
    <s v="Pratik Shivaji Tupe"/>
    <n v="9876501257"/>
    <x v="0"/>
    <s v="Pune, Maharashtra"/>
    <s v="OUT"/>
  </r>
  <r>
    <s v="ST1058"/>
    <s v="Minal Ravindra Doke"/>
    <n v="9876501258"/>
    <x v="6"/>
    <s v="Ahilya Nagar, Maharashtra"/>
    <s v="OUT"/>
  </r>
  <r>
    <s v="ST1059"/>
    <s v="Vishal Pravin Kokate"/>
    <n v="9876501259"/>
    <x v="3"/>
    <s v="Chhatrapati Sambhajinagar, Maharashtra"/>
    <s v="OUT"/>
  </r>
  <r>
    <s v="ST1060"/>
    <s v="Neha Kishor Dhage"/>
    <n v="9876501260"/>
    <x v="5"/>
    <s v="Pune, Maharashtra"/>
    <s v="OUT"/>
  </r>
  <r>
    <s v="ST1061"/>
    <s v="Akshay Dattatraya Borude"/>
    <n v="9876501261"/>
    <x v="7"/>
    <s v="Pune, Maharashtra"/>
    <s v="OUT"/>
  </r>
  <r>
    <s v="ST1062"/>
    <s v="Priti Balasaheb Nagare"/>
    <n v="9876501262"/>
    <x v="10"/>
    <s v="Ahilya Nagar, Maharashtra"/>
    <s v="OUT"/>
  </r>
  <r>
    <s v="ST1063"/>
    <s v="Chetan Hanuman Gawali"/>
    <n v="9876501263"/>
    <x v="4"/>
    <s v="Chhatrapati Sambhajinagar, Maharashtra"/>
    <s v="OUT"/>
  </r>
  <r>
    <s v="ST1064"/>
    <s v="Sonali Vilas Shelke"/>
    <n v="9876501264"/>
    <x v="2"/>
    <s v="Pune, Maharashtra"/>
    <s v="OUT"/>
  </r>
  <r>
    <s v="ST1065"/>
    <s v="Swapnil Sopan Raut"/>
    <n v="9876501265"/>
    <x v="4"/>
    <s v="Pune, Maharashtra"/>
    <s v="OUT"/>
  </r>
  <r>
    <s v="ST1066"/>
    <s v="Bhagyashree Eknath Pansare"/>
    <n v="9876501266"/>
    <x v="8"/>
    <s v="Ahilya Nagar, Maharashtra"/>
    <s v="OUT"/>
  </r>
  <r>
    <s v="ST1067"/>
    <s v="Kunal Bharat Pawale"/>
    <n v="9876501267"/>
    <x v="4"/>
    <s v="Chhatrapati Sambhajinagar, Maharashtra"/>
    <s v="OUT"/>
  </r>
  <r>
    <s v="ST1068"/>
    <s v="Monika Nitin Kute"/>
    <n v="9876501268"/>
    <x v="5"/>
    <s v="Pune, Maharashtra"/>
    <s v="OUT"/>
  </r>
  <r>
    <s v="ST1069"/>
    <s v="Yogesh Tukaram Dhavale"/>
    <n v="9876501269"/>
    <x v="6"/>
    <s v="Pune, Maharashtra"/>
    <s v="OUT"/>
  </r>
  <r>
    <s v="ST1070"/>
    <s v="Reshma Arun Kolhe"/>
    <n v="9876501270"/>
    <x v="6"/>
    <s v="Chhatrapati Sambhajinagar, Maharashtra"/>
    <s v="OUT"/>
  </r>
  <r>
    <s v="ST1071"/>
    <s v="Aditya Ashok Londhe"/>
    <n v="9876501271"/>
    <x v="10"/>
    <s v="Chhatrapati Sambhajinagar, Maharashtra"/>
    <s v="OUT"/>
  </r>
  <r>
    <s v="ST1072"/>
    <s v="Ruchita Mahendra Jare"/>
    <n v="9876501272"/>
    <x v="4"/>
    <s v="Pune, Maharashtra"/>
    <s v="OUT"/>
  </r>
  <r>
    <s v="ST1073"/>
    <s v="Sanket Vijay Ghule"/>
    <n v="9876501273"/>
    <x v="5"/>
    <s v="Pune, Maharashtra"/>
    <s v="OUT"/>
  </r>
  <r>
    <s v="ST1074"/>
    <s v="Shweta Sanjay Shelar"/>
    <n v="9876501274"/>
    <x v="0"/>
    <s v="Ahilya Nagar, Maharashtra"/>
    <s v="OUT"/>
  </r>
  <r>
    <s v="ST1075"/>
    <s v="Ajinkya Narayan Wankhede"/>
    <n v="9876501275"/>
    <x v="4"/>
    <s v="Chhatrapati Sambhajinagar, Maharashtra"/>
    <s v="OUT"/>
  </r>
  <r>
    <s v="ST1076"/>
    <s v="Pooja Dnyaneshwar Karale"/>
    <n v="9876501276"/>
    <x v="7"/>
    <s v="Pune, Maharashtra"/>
    <s v="OUT"/>
  </r>
  <r>
    <s v="ST1077"/>
    <s v="Prathamesh Dnyaneshwar Jadhav"/>
    <n v="9834512701"/>
    <x v="1"/>
    <s v="Hadapsar, Pune"/>
    <s v="OUT"/>
  </r>
  <r>
    <s v="ST1078"/>
    <s v="Vaishnavi Ashok Pawar"/>
    <n v="9834512702"/>
    <x v="9"/>
    <s v="Wagholi, Pune"/>
    <s v="OUT"/>
  </r>
  <r>
    <s v="ST1079"/>
    <s v="Omkar Rajendra Kale"/>
    <n v="9834512703"/>
    <x v="9"/>
    <s v="Chakan, Pune"/>
    <s v="OUT"/>
  </r>
  <r>
    <s v="ST1080"/>
    <s v="Snehal Sunil Ghadge"/>
    <n v="9834512704"/>
    <x v="0"/>
    <s v="Kharadi, Pune"/>
    <s v="OUT"/>
  </r>
  <r>
    <s v="ST1081"/>
    <s v="Tejas Vilas Shinde"/>
    <n v="9834512705"/>
    <x v="2"/>
    <s v="Hinjawadi, Pune"/>
    <s v="OUT"/>
  </r>
  <r>
    <s v="ST1082"/>
    <s v="Aditi Prakash More"/>
    <n v="9834512706"/>
    <x v="4"/>
    <s v="Baner, Pune"/>
    <s v="OUT"/>
  </r>
  <r>
    <s v="ST1083"/>
    <s v="Sanket Dattatraya Chavan"/>
    <n v="9834512707"/>
    <x v="3"/>
    <s v="Wakad, Pune"/>
    <s v="OUT"/>
  </r>
  <r>
    <s v="ST1084"/>
    <s v="Rutuja Mahendra Gaikwad"/>
    <n v="9834512708"/>
    <x v="3"/>
    <s v="Pimpri, Pune"/>
    <s v="OUT"/>
  </r>
  <r>
    <s v="ST1085"/>
    <s v="Akshay Ravindra Bhosale"/>
    <n v="9834512709"/>
    <x v="7"/>
    <s v="Chinchwad, Pune"/>
    <s v="OUT"/>
  </r>
  <r>
    <s v="ST1086"/>
    <s v="Komal Sanjay Kharat"/>
    <n v="9834512710"/>
    <x v="9"/>
    <s v="Talegaon, Pune"/>
    <s v="OUT"/>
  </r>
  <r>
    <s v="ST1087"/>
    <s v="Rohit Shrikant Wagh"/>
    <n v="9834512711"/>
    <x v="3"/>
    <s v="Moshi, Pune"/>
    <s v="OUT"/>
  </r>
  <r>
    <s v="ST1088"/>
    <s v="Pooja Vijay Dhumal"/>
    <n v="9834512712"/>
    <x v="10"/>
    <s v="Bhosari, Pune"/>
    <s v="OUT"/>
  </r>
  <r>
    <s v="ST1089"/>
    <s v="Nikhil Ashok Thorat"/>
    <n v="9834512713"/>
    <x v="8"/>
    <s v="Alandi, Pune"/>
    <s v="OUT"/>
  </r>
  <r>
    <s v="ST1090"/>
    <s v="Mansi Santosh Gawali"/>
    <n v="9834512714"/>
    <x v="4"/>
    <s v="Lohegaon, Pune"/>
    <s v="OUT"/>
  </r>
  <r>
    <s v="ST1091"/>
    <s v="Aditya Chandrakant Salunkhe"/>
    <n v="9834512715"/>
    <x v="2"/>
    <s v="Dhanori, Pune"/>
    <s v="OUT"/>
  </r>
  <r>
    <s v="ST1092"/>
    <s v="Sakshi Ganesh Jare"/>
    <n v="9834512716"/>
    <x v="5"/>
    <s v="Kondhwa, Pune"/>
    <s v="OUT"/>
  </r>
  <r>
    <s v="ST1093"/>
    <s v="Harshal Pandurang Tupe"/>
    <n v="9834512717"/>
    <x v="6"/>
    <s v="Katraj, Pune"/>
    <s v="OUT"/>
  </r>
  <r>
    <s v="ST1094"/>
    <s v="Nikita Suresh Shelke"/>
    <n v="9834512718"/>
    <x v="7"/>
    <s v="Shivajinagar, Pune"/>
    <s v="OUT"/>
  </r>
  <r>
    <s v="ST1095"/>
    <s v="Yogesh Pravin Dhage"/>
    <n v="9834512719"/>
    <x v="0"/>
    <s v="Bavdhan, Pune"/>
    <s v="OUT"/>
  </r>
  <r>
    <s v="ST1096"/>
    <s v="Reshma Balasaheb Kute"/>
    <n v="9834512720"/>
    <x v="0"/>
    <s v="Nigdi, Pune"/>
    <s v="OUT"/>
  </r>
  <r>
    <s v="ST1097"/>
    <s v="Shubham Bharat Kokate"/>
    <n v="9834512721"/>
    <x v="1"/>
    <s v="Ravet, Pune"/>
    <s v="OUT"/>
  </r>
  <r>
    <s v="ST1098"/>
    <s v="Sonali Arun Borude"/>
    <n v="9834512722"/>
    <x v="1"/>
    <s v="Dhayari, Pune"/>
    <s v="OUT"/>
  </r>
  <r>
    <s v="ST1099"/>
    <s v="Chetan Kishor Ghule"/>
    <n v="9834512723"/>
    <x v="0"/>
    <s v="Narhe, Pune"/>
    <s v="OUT"/>
  </r>
  <r>
    <s v="ST1100"/>
    <s v="Monika Nitin Karale"/>
    <n v="9834512724"/>
    <x v="9"/>
    <s v="Fursungi, Pune"/>
    <s v="OUT"/>
  </r>
  <r>
    <s v="ST1101"/>
    <s v="Ganesh Eknath Pawale"/>
    <n v="9834512725"/>
    <x v="9"/>
    <s v="Mundhwa, Pune"/>
    <s v="OUT"/>
  </r>
  <r>
    <s v="ST1102"/>
    <s v="Shraddha Tukaram Kolhe"/>
    <n v="9834512726"/>
    <x v="7"/>
    <s v="Ahilya Nagar City"/>
    <s v="OUT"/>
  </r>
  <r>
    <s v="ST1103"/>
    <s v="Vishal Sharad Nagare"/>
    <n v="9834512727"/>
    <x v="6"/>
    <s v="Shrirampur"/>
    <s v="OUT"/>
  </r>
  <r>
    <s v="ST1104"/>
    <s v="Prajakta Baban Doke"/>
    <n v="9834512728"/>
    <x v="6"/>
    <s v="Sangamner"/>
    <s v="OUT"/>
  </r>
  <r>
    <s v="ST1105"/>
    <s v="Amol Shivaji Dhavale"/>
    <n v="9834512729"/>
    <x v="5"/>
    <s v="Rahata"/>
    <s v="OUT"/>
  </r>
  <r>
    <s v="ST1106"/>
    <s v="Sanika Haribhau Khedkar"/>
    <n v="9834512730"/>
    <x v="2"/>
    <s v="Rahuri"/>
    <s v="OUT"/>
  </r>
  <r>
    <s v="ST1107"/>
    <s v="Devendra Ramesh Pansare"/>
    <n v="9834512731"/>
    <x v="4"/>
    <s v="Pathardi"/>
    <s v="OUT"/>
  </r>
  <r>
    <s v="ST1108"/>
    <s v="Bhagyashree Vinod Bhise"/>
    <n v="9834512732"/>
    <x v="8"/>
    <s v="Nevasa"/>
    <s v="OUT"/>
  </r>
  <r>
    <s v="ST1109"/>
    <s v="Tushar Milind Londhe"/>
    <n v="9834512733"/>
    <x v="10"/>
    <s v="Shevgaon"/>
    <s v="OUT"/>
  </r>
  <r>
    <s v="ST1110"/>
    <s v="Neha Shashikant Gorde"/>
    <n v="9834512734"/>
    <x v="3"/>
    <s v="Jamkhed"/>
    <s v="OUT"/>
  </r>
  <r>
    <s v="ST1111"/>
    <s v="Kunal Dnyaneshwar Raut"/>
    <n v="9834512735"/>
    <x v="8"/>
    <s v="Karjat, Ahilya Nagar"/>
    <s v="OUT"/>
  </r>
  <r>
    <m/>
    <m/>
    <m/>
    <x v="1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EE58DA-6D1B-4999-977A-0BBC80D58DB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6:C18" firstHeaderRow="1" firstDataRow="1" firstDataCol="1"/>
  <pivotFields count="6">
    <pivotField dataField="1" showAll="0"/>
    <pivotField showAll="0"/>
    <pivotField showAll="0"/>
    <pivotField axis="axisRow" showAll="0">
      <items count="13">
        <item x="1"/>
        <item x="0"/>
        <item x="6"/>
        <item x="5"/>
        <item x="4"/>
        <item x="10"/>
        <item x="3"/>
        <item x="2"/>
        <item x="8"/>
        <item x="9"/>
        <item x="7"/>
        <item h="1" x="11"/>
        <item t="default"/>
      </items>
    </pivotField>
    <pivotField showAll="0"/>
    <pivotField showAll="0"/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Count of Stud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Candara">
      <a:maj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94EE8EC-409D-4261-8FC2-F982B8817769}">
  <we:reference id="wa200001584" version="3.0.5.6" store="en-US" storeType="OMEX"/>
  <we:alternateReferences>
    <we:reference id="WA200001584" version="3.0.5.6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8F84-7FAD-4EEE-B4AD-2CA191EFE66E}">
  <sheetPr codeName="Sheet1">
    <tabColor rgb="FFC435EB"/>
  </sheetPr>
  <dimension ref="A1:D12"/>
  <sheetViews>
    <sheetView showGridLines="0" showRowColHeaders="0" zoomScale="112" workbookViewId="0">
      <selection activeCell="D17" sqref="D17"/>
    </sheetView>
  </sheetViews>
  <sheetFormatPr defaultRowHeight="13.8" x14ac:dyDescent="0.3"/>
  <cols>
    <col min="1" max="1" width="16.69921875" style="17" customWidth="1"/>
    <col min="2" max="3" width="8.796875" style="17"/>
    <col min="4" max="4" width="44.8984375" style="18" customWidth="1"/>
    <col min="5" max="16384" width="8.796875" style="17"/>
  </cols>
  <sheetData>
    <row r="1" spans="1:4" ht="14.4" x14ac:dyDescent="0.3">
      <c r="A1" s="20" t="s">
        <v>10</v>
      </c>
      <c r="B1" s="17">
        <v>1111</v>
      </c>
      <c r="D1" s="19" t="s">
        <v>11</v>
      </c>
    </row>
    <row r="2" spans="1:4" x14ac:dyDescent="0.3">
      <c r="D2" s="18" t="s">
        <v>12</v>
      </c>
    </row>
    <row r="3" spans="1:4" x14ac:dyDescent="0.3">
      <c r="D3" s="18" t="s">
        <v>13</v>
      </c>
    </row>
    <row r="4" spans="1:4" x14ac:dyDescent="0.3">
      <c r="D4" s="18" t="s">
        <v>14</v>
      </c>
    </row>
    <row r="5" spans="1:4" x14ac:dyDescent="0.3">
      <c r="D5" s="18" t="s">
        <v>15</v>
      </c>
    </row>
    <row r="6" spans="1:4" x14ac:dyDescent="0.3">
      <c r="D6" s="18" t="s">
        <v>16</v>
      </c>
    </row>
    <row r="7" spans="1:4" x14ac:dyDescent="0.3">
      <c r="D7" s="18" t="s">
        <v>17</v>
      </c>
    </row>
    <row r="8" spans="1:4" x14ac:dyDescent="0.3">
      <c r="D8" s="18" t="s">
        <v>18</v>
      </c>
    </row>
    <row r="9" spans="1:4" x14ac:dyDescent="0.3">
      <c r="D9" s="18" t="s">
        <v>19</v>
      </c>
    </row>
    <row r="10" spans="1:4" x14ac:dyDescent="0.3">
      <c r="D10" s="18" t="s">
        <v>20</v>
      </c>
    </row>
    <row r="11" spans="1:4" x14ac:dyDescent="0.3">
      <c r="D11" s="18" t="s">
        <v>21</v>
      </c>
    </row>
    <row r="12" spans="1:4" x14ac:dyDescent="0.3">
      <c r="D12" s="18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5677-AF72-4108-A0A1-F834F5F48060}">
  <sheetPr codeName="Sheet4">
    <tabColor rgb="FF75C4E7"/>
  </sheetPr>
  <dimension ref="Q1:T1"/>
  <sheetViews>
    <sheetView showGridLines="0" showRowColHeaders="0" zoomScale="58" zoomScaleNormal="145" zoomScaleSheetLayoutView="86" workbookViewId="0">
      <selection activeCell="M65" sqref="M65"/>
    </sheetView>
  </sheetViews>
  <sheetFormatPr defaultColWidth="8" defaultRowHeight="14.4" x14ac:dyDescent="0.3"/>
  <cols>
    <col min="1" max="15" width="8.796875" style="2" customWidth="1"/>
    <col min="16" max="16" width="9.5" style="2" customWidth="1"/>
    <col min="17" max="20" width="8.796875" style="2" hidden="1" customWidth="1"/>
    <col min="21" max="40" width="8.796875" style="2" customWidth="1"/>
    <col min="41" max="16384" width="8" style="2"/>
  </cols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79256-E88D-4911-8D00-D0C6BDC8940A}">
  <sheetPr codeName="Sheet5">
    <tabColor theme="7" tint="0.39997558519241921"/>
  </sheetPr>
  <dimension ref="A2:B5"/>
  <sheetViews>
    <sheetView showGridLines="0" tabSelected="1" workbookViewId="0">
      <selection activeCell="E9" sqref="E9"/>
    </sheetView>
  </sheetViews>
  <sheetFormatPr defaultRowHeight="14.4" x14ac:dyDescent="0.3"/>
  <cols>
    <col min="1" max="1" width="16" customWidth="1"/>
    <col min="4" max="6" width="8"/>
    <col min="7" max="7" width="14.296875" bestFit="1" customWidth="1"/>
  </cols>
  <sheetData>
    <row r="2" spans="1:2" x14ac:dyDescent="0.3">
      <c r="A2" t="s">
        <v>23</v>
      </c>
      <c r="B2" s="1">
        <f>COUNTA(Student_Data!A:A)-1</f>
        <v>111</v>
      </c>
    </row>
    <row r="3" spans="1:2" x14ac:dyDescent="0.3">
      <c r="A3" t="s">
        <v>24</v>
      </c>
      <c r="B3">
        <f ca="1">COUNTIFS(Student_Entry!F:F,TODAY(),
          Student_Entry!G:G,"&lt;&gt;")</f>
        <v>0</v>
      </c>
    </row>
    <row r="4" spans="1:2" x14ac:dyDescent="0.3">
      <c r="A4" t="s">
        <v>25</v>
      </c>
      <c r="B4">
        <f ca="1">COUNTIFS(Student_Entry!F:F,TODAY(),
          Student_Entry!H:H,"&lt;&gt;")</f>
        <v>0</v>
      </c>
    </row>
    <row r="5" spans="1:2" x14ac:dyDescent="0.3">
      <c r="A5" t="s">
        <v>26</v>
      </c>
      <c r="B5">
        <f ca="1">SUM(B3:B4)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B70A-CE93-4884-BBD8-2E392D055ED3}">
  <sheetPr codeName="Sheet6">
    <tabColor theme="6" tint="0.39997558519241921"/>
  </sheetPr>
  <dimension ref="B6:C18"/>
  <sheetViews>
    <sheetView showGridLines="0" workbookViewId="0">
      <selection activeCell="C21" sqref="C21"/>
    </sheetView>
  </sheetViews>
  <sheetFormatPr defaultRowHeight="14.4" x14ac:dyDescent="0.3"/>
  <cols>
    <col min="2" max="2" width="38.5" bestFit="1" customWidth="1"/>
    <col min="3" max="3" width="17.09765625" bestFit="1" customWidth="1"/>
    <col min="7" max="7" width="38.5" bestFit="1" customWidth="1"/>
  </cols>
  <sheetData>
    <row r="6" spans="2:3" x14ac:dyDescent="0.3">
      <c r="B6" s="21" t="s">
        <v>318</v>
      </c>
      <c r="C6" t="s">
        <v>320</v>
      </c>
    </row>
    <row r="7" spans="2:3" x14ac:dyDescent="0.3">
      <c r="B7" s="22" t="s">
        <v>22</v>
      </c>
      <c r="C7">
        <v>12</v>
      </c>
    </row>
    <row r="8" spans="2:3" x14ac:dyDescent="0.3">
      <c r="B8" s="22" t="s">
        <v>21</v>
      </c>
      <c r="C8">
        <v>14</v>
      </c>
    </row>
    <row r="9" spans="2:3" x14ac:dyDescent="0.3">
      <c r="B9" s="22" t="s">
        <v>18</v>
      </c>
      <c r="C9">
        <v>9</v>
      </c>
    </row>
    <row r="10" spans="2:3" x14ac:dyDescent="0.3">
      <c r="B10" s="22" t="s">
        <v>17</v>
      </c>
      <c r="C10">
        <v>8</v>
      </c>
    </row>
    <row r="11" spans="2:3" x14ac:dyDescent="0.3">
      <c r="B11" s="22" t="s">
        <v>15</v>
      </c>
      <c r="C11">
        <v>14</v>
      </c>
    </row>
    <row r="12" spans="2:3" x14ac:dyDescent="0.3">
      <c r="B12" s="22" t="s">
        <v>13</v>
      </c>
      <c r="C12">
        <v>6</v>
      </c>
    </row>
    <row r="13" spans="2:3" x14ac:dyDescent="0.3">
      <c r="B13" s="22" t="s">
        <v>12</v>
      </c>
      <c r="C13">
        <v>10</v>
      </c>
    </row>
    <row r="14" spans="2:3" x14ac:dyDescent="0.3">
      <c r="B14" s="22" t="s">
        <v>16</v>
      </c>
      <c r="C14">
        <v>15</v>
      </c>
    </row>
    <row r="15" spans="2:3" x14ac:dyDescent="0.3">
      <c r="B15" s="22" t="s">
        <v>14</v>
      </c>
      <c r="C15">
        <v>7</v>
      </c>
    </row>
    <row r="16" spans="2:3" x14ac:dyDescent="0.3">
      <c r="B16" s="22" t="s">
        <v>20</v>
      </c>
      <c r="C16">
        <v>6</v>
      </c>
    </row>
    <row r="17" spans="2:3" x14ac:dyDescent="0.3">
      <c r="B17" s="22" t="s">
        <v>19</v>
      </c>
      <c r="C17">
        <v>10</v>
      </c>
    </row>
    <row r="18" spans="2:3" x14ac:dyDescent="0.3">
      <c r="B18" s="22" t="s">
        <v>319</v>
      </c>
      <c r="C18">
        <v>111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B410-D30A-43DA-8947-BC957EE2B89C}">
  <sheetPr codeName="Sheet3">
    <tabColor theme="1" tint="0.34998626667073579"/>
  </sheetPr>
  <dimension ref="A1:F112"/>
  <sheetViews>
    <sheetView showGridLines="0" showRowColHeaders="0" zoomScale="90" zoomScaleNormal="90" workbookViewId="0">
      <pane ySplit="1" topLeftCell="A2" activePane="bottomLeft" state="frozen"/>
      <selection pane="bottomLeft"/>
    </sheetView>
  </sheetViews>
  <sheetFormatPr defaultRowHeight="13.8" x14ac:dyDescent="0.3"/>
  <cols>
    <col min="1" max="1" width="13.69921875" style="7" customWidth="1"/>
    <col min="2" max="2" width="35.59765625" style="8" customWidth="1"/>
    <col min="3" max="3" width="18.796875" style="7" customWidth="1"/>
    <col min="4" max="4" width="40.59765625" style="8" customWidth="1"/>
    <col min="5" max="5" width="46.69921875" style="8" customWidth="1"/>
    <col min="6" max="6" width="18.69921875" style="7" customWidth="1"/>
    <col min="7" max="16384" width="8.796875" style="5"/>
  </cols>
  <sheetData>
    <row r="1" spans="1:6" s="6" customFormat="1" ht="30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</row>
    <row r="2" spans="1:6" x14ac:dyDescent="0.3">
      <c r="A2" s="7" t="s">
        <v>31</v>
      </c>
      <c r="B2" s="8" t="s">
        <v>28</v>
      </c>
      <c r="C2" s="7">
        <v>9876501201</v>
      </c>
      <c r="D2" s="8" t="s">
        <v>21</v>
      </c>
      <c r="E2" s="8" t="s">
        <v>29</v>
      </c>
      <c r="F2" s="7" t="s">
        <v>30</v>
      </c>
    </row>
    <row r="3" spans="1:6" x14ac:dyDescent="0.3">
      <c r="A3" s="7" t="s">
        <v>32</v>
      </c>
      <c r="B3" s="8" t="s">
        <v>33</v>
      </c>
      <c r="C3" s="7">
        <v>9876501202</v>
      </c>
      <c r="D3" s="8" t="s">
        <v>22</v>
      </c>
      <c r="E3" s="8" t="s">
        <v>34</v>
      </c>
      <c r="F3" s="7" t="s">
        <v>30</v>
      </c>
    </row>
    <row r="4" spans="1:6" x14ac:dyDescent="0.3">
      <c r="A4" s="7" t="s">
        <v>35</v>
      </c>
      <c r="B4" s="8" t="s">
        <v>36</v>
      </c>
      <c r="C4" s="7">
        <v>9876501203</v>
      </c>
      <c r="D4" s="8" t="s">
        <v>16</v>
      </c>
      <c r="E4" s="8" t="s">
        <v>37</v>
      </c>
      <c r="F4" s="7" t="s">
        <v>30</v>
      </c>
    </row>
    <row r="5" spans="1:6" x14ac:dyDescent="0.3">
      <c r="A5" s="7" t="s">
        <v>38</v>
      </c>
      <c r="B5" s="8" t="s">
        <v>39</v>
      </c>
      <c r="C5" s="7">
        <v>9876501204</v>
      </c>
      <c r="D5" s="8" t="s">
        <v>22</v>
      </c>
      <c r="E5" s="8" t="s">
        <v>40</v>
      </c>
      <c r="F5" s="7" t="s">
        <v>30</v>
      </c>
    </row>
    <row r="6" spans="1:6" x14ac:dyDescent="0.3">
      <c r="A6" s="7" t="s">
        <v>41</v>
      </c>
      <c r="B6" s="8" t="s">
        <v>42</v>
      </c>
      <c r="C6" s="7">
        <v>9876501205</v>
      </c>
      <c r="D6" s="8" t="s">
        <v>22</v>
      </c>
      <c r="E6" s="8" t="s">
        <v>43</v>
      </c>
      <c r="F6" s="7" t="s">
        <v>30</v>
      </c>
    </row>
    <row r="7" spans="1:6" x14ac:dyDescent="0.3">
      <c r="A7" s="7" t="s">
        <v>27</v>
      </c>
      <c r="B7" s="8" t="s">
        <v>44</v>
      </c>
      <c r="C7" s="7">
        <v>9876501206</v>
      </c>
      <c r="D7" s="8" t="s">
        <v>16</v>
      </c>
      <c r="E7" s="8" t="s">
        <v>45</v>
      </c>
      <c r="F7" s="7" t="s">
        <v>30</v>
      </c>
    </row>
    <row r="8" spans="1:6" x14ac:dyDescent="0.3">
      <c r="A8" s="7" t="s">
        <v>46</v>
      </c>
      <c r="B8" s="8" t="s">
        <v>47</v>
      </c>
      <c r="C8" s="7">
        <v>9876501207</v>
      </c>
      <c r="D8" s="8" t="s">
        <v>16</v>
      </c>
      <c r="E8" s="8" t="s">
        <v>29</v>
      </c>
      <c r="F8" s="7" t="s">
        <v>30</v>
      </c>
    </row>
    <row r="9" spans="1:6" x14ac:dyDescent="0.3">
      <c r="A9" s="7" t="s">
        <v>48</v>
      </c>
      <c r="B9" s="8" t="s">
        <v>49</v>
      </c>
      <c r="C9" s="7">
        <v>9876501208</v>
      </c>
      <c r="D9" s="8" t="s">
        <v>22</v>
      </c>
      <c r="E9" s="8" t="s">
        <v>50</v>
      </c>
      <c r="F9" s="7" t="s">
        <v>30</v>
      </c>
    </row>
    <row r="10" spans="1:6" x14ac:dyDescent="0.3">
      <c r="A10" s="7" t="s">
        <v>51</v>
      </c>
      <c r="B10" s="8" t="s">
        <v>52</v>
      </c>
      <c r="C10" s="7">
        <v>9876501209</v>
      </c>
      <c r="D10" s="8" t="s">
        <v>21</v>
      </c>
      <c r="E10" s="8" t="s">
        <v>53</v>
      </c>
      <c r="F10" s="7" t="s">
        <v>30</v>
      </c>
    </row>
    <row r="11" spans="1:6" x14ac:dyDescent="0.3">
      <c r="A11" s="7" t="s">
        <v>54</v>
      </c>
      <c r="B11" s="8" t="s">
        <v>55</v>
      </c>
      <c r="C11" s="7">
        <v>9876501210</v>
      </c>
      <c r="D11" s="8" t="s">
        <v>21</v>
      </c>
      <c r="E11" s="8" t="s">
        <v>56</v>
      </c>
      <c r="F11" s="7" t="s">
        <v>30</v>
      </c>
    </row>
    <row r="12" spans="1:6" x14ac:dyDescent="0.3">
      <c r="A12" s="7" t="s">
        <v>57</v>
      </c>
      <c r="B12" s="8" t="s">
        <v>58</v>
      </c>
      <c r="C12" s="7">
        <v>9876501211</v>
      </c>
      <c r="D12" s="8" t="s">
        <v>22</v>
      </c>
      <c r="E12" s="8" t="s">
        <v>59</v>
      </c>
      <c r="F12" s="7" t="s">
        <v>30</v>
      </c>
    </row>
    <row r="13" spans="1:6" x14ac:dyDescent="0.3">
      <c r="A13" s="7" t="s">
        <v>60</v>
      </c>
      <c r="B13" s="8" t="s">
        <v>61</v>
      </c>
      <c r="C13" s="7">
        <v>9876501212</v>
      </c>
      <c r="D13" s="8" t="s">
        <v>22</v>
      </c>
      <c r="E13" s="8" t="s">
        <v>62</v>
      </c>
      <c r="F13" s="7" t="s">
        <v>30</v>
      </c>
    </row>
    <row r="14" spans="1:6" x14ac:dyDescent="0.3">
      <c r="A14" s="7" t="s">
        <v>63</v>
      </c>
      <c r="B14" s="8" t="s">
        <v>64</v>
      </c>
      <c r="C14" s="7">
        <v>9876501213</v>
      </c>
      <c r="D14" s="8" t="s">
        <v>22</v>
      </c>
      <c r="E14" s="8" t="s">
        <v>65</v>
      </c>
      <c r="F14" s="7" t="s">
        <v>30</v>
      </c>
    </row>
    <row r="15" spans="1:6" x14ac:dyDescent="0.3">
      <c r="A15" s="7" t="s">
        <v>66</v>
      </c>
      <c r="B15" s="8" t="s">
        <v>67</v>
      </c>
      <c r="C15" s="7">
        <v>9876501214</v>
      </c>
      <c r="D15" s="8" t="s">
        <v>16</v>
      </c>
      <c r="E15" s="8" t="s">
        <v>68</v>
      </c>
      <c r="F15" s="7" t="s">
        <v>30</v>
      </c>
    </row>
    <row r="16" spans="1:6" x14ac:dyDescent="0.3">
      <c r="A16" s="7" t="s">
        <v>69</v>
      </c>
      <c r="B16" s="8" t="s">
        <v>70</v>
      </c>
      <c r="C16" s="7">
        <v>9876501215</v>
      </c>
      <c r="D16" s="8" t="s">
        <v>16</v>
      </c>
      <c r="E16" s="8" t="s">
        <v>71</v>
      </c>
      <c r="F16" s="7" t="s">
        <v>30</v>
      </c>
    </row>
    <row r="17" spans="1:6" x14ac:dyDescent="0.3">
      <c r="A17" s="7" t="s">
        <v>72</v>
      </c>
      <c r="B17" s="8" t="s">
        <v>73</v>
      </c>
      <c r="C17" s="7">
        <v>9876501216</v>
      </c>
      <c r="D17" s="8" t="s">
        <v>21</v>
      </c>
      <c r="E17" s="8" t="s">
        <v>74</v>
      </c>
      <c r="F17" s="7" t="s">
        <v>30</v>
      </c>
    </row>
    <row r="18" spans="1:6" x14ac:dyDescent="0.3">
      <c r="A18" s="7" t="s">
        <v>75</v>
      </c>
      <c r="B18" s="8" t="s">
        <v>76</v>
      </c>
      <c r="C18" s="7">
        <v>9876501217</v>
      </c>
      <c r="D18" s="8" t="s">
        <v>16</v>
      </c>
      <c r="E18" s="8" t="s">
        <v>29</v>
      </c>
      <c r="F18" s="7" t="s">
        <v>30</v>
      </c>
    </row>
    <row r="19" spans="1:6" x14ac:dyDescent="0.3">
      <c r="A19" s="7" t="s">
        <v>77</v>
      </c>
      <c r="B19" s="8" t="s">
        <v>78</v>
      </c>
      <c r="C19" s="7">
        <v>9876501218</v>
      </c>
      <c r="D19" s="8" t="s">
        <v>21</v>
      </c>
      <c r="E19" s="8" t="s">
        <v>79</v>
      </c>
      <c r="F19" s="7" t="s">
        <v>30</v>
      </c>
    </row>
    <row r="20" spans="1:6" x14ac:dyDescent="0.3">
      <c r="A20" s="7" t="s">
        <v>80</v>
      </c>
      <c r="B20" s="8" t="s">
        <v>81</v>
      </c>
      <c r="C20" s="7">
        <v>9876501219</v>
      </c>
      <c r="D20" s="8" t="s">
        <v>16</v>
      </c>
      <c r="E20" s="8" t="s">
        <v>82</v>
      </c>
      <c r="F20" s="7" t="s">
        <v>30</v>
      </c>
    </row>
    <row r="21" spans="1:6" x14ac:dyDescent="0.3">
      <c r="A21" s="7" t="s">
        <v>83</v>
      </c>
      <c r="B21" s="8" t="s">
        <v>84</v>
      </c>
      <c r="C21" s="7">
        <v>9876501220</v>
      </c>
      <c r="D21" s="8" t="s">
        <v>22</v>
      </c>
      <c r="E21" s="8" t="s">
        <v>85</v>
      </c>
      <c r="F21" s="7" t="s">
        <v>30</v>
      </c>
    </row>
    <row r="22" spans="1:6" x14ac:dyDescent="0.3">
      <c r="A22" s="7" t="s">
        <v>86</v>
      </c>
      <c r="B22" s="8" t="s">
        <v>87</v>
      </c>
      <c r="C22" s="7">
        <v>9876501221</v>
      </c>
      <c r="D22" s="8" t="s">
        <v>16</v>
      </c>
      <c r="E22" s="8" t="s">
        <v>29</v>
      </c>
      <c r="F22" s="7" t="s">
        <v>30</v>
      </c>
    </row>
    <row r="23" spans="1:6" x14ac:dyDescent="0.3">
      <c r="A23" s="7" t="s">
        <v>88</v>
      </c>
      <c r="B23" s="8" t="s">
        <v>89</v>
      </c>
      <c r="C23" s="7">
        <v>9876501222</v>
      </c>
      <c r="D23" s="8" t="s">
        <v>16</v>
      </c>
      <c r="E23" s="8" t="s">
        <v>90</v>
      </c>
      <c r="F23" s="7" t="s">
        <v>30</v>
      </c>
    </row>
    <row r="24" spans="1:6" x14ac:dyDescent="0.3">
      <c r="A24" s="7" t="s">
        <v>91</v>
      </c>
      <c r="B24" s="8" t="s">
        <v>92</v>
      </c>
      <c r="C24" s="7">
        <v>9876501223</v>
      </c>
      <c r="D24" s="8" t="s">
        <v>22</v>
      </c>
      <c r="E24" s="8" t="s">
        <v>93</v>
      </c>
      <c r="F24" s="7" t="s">
        <v>30</v>
      </c>
    </row>
    <row r="25" spans="1:6" x14ac:dyDescent="0.3">
      <c r="A25" s="7" t="s">
        <v>94</v>
      </c>
      <c r="B25" s="8" t="s">
        <v>95</v>
      </c>
      <c r="C25" s="7">
        <v>9876501224</v>
      </c>
      <c r="D25" s="8" t="s">
        <v>21</v>
      </c>
      <c r="E25" s="8" t="s">
        <v>96</v>
      </c>
      <c r="F25" s="7" t="s">
        <v>30</v>
      </c>
    </row>
    <row r="26" spans="1:6" x14ac:dyDescent="0.3">
      <c r="A26" s="7" t="s">
        <v>97</v>
      </c>
      <c r="B26" s="8" t="s">
        <v>98</v>
      </c>
      <c r="C26" s="7">
        <v>9876501225</v>
      </c>
      <c r="D26" s="8" t="s">
        <v>21</v>
      </c>
      <c r="E26" s="8" t="s">
        <v>99</v>
      </c>
      <c r="F26" s="7" t="s">
        <v>30</v>
      </c>
    </row>
    <row r="27" spans="1:6" x14ac:dyDescent="0.3">
      <c r="A27" s="7" t="s">
        <v>100</v>
      </c>
      <c r="B27" s="8" t="s">
        <v>101</v>
      </c>
      <c r="C27" s="7">
        <v>9876501226</v>
      </c>
      <c r="D27" s="8" t="s">
        <v>16</v>
      </c>
      <c r="E27" s="8" t="s">
        <v>102</v>
      </c>
      <c r="F27" s="7" t="s">
        <v>30</v>
      </c>
    </row>
    <row r="28" spans="1:6" x14ac:dyDescent="0.3">
      <c r="A28" s="7" t="s">
        <v>103</v>
      </c>
      <c r="B28" s="8" t="s">
        <v>104</v>
      </c>
      <c r="C28" s="7">
        <v>9876501227</v>
      </c>
      <c r="D28" s="8" t="s">
        <v>12</v>
      </c>
      <c r="E28" s="8" t="s">
        <v>105</v>
      </c>
      <c r="F28" s="7" t="s">
        <v>30</v>
      </c>
    </row>
    <row r="29" spans="1:6" x14ac:dyDescent="0.3">
      <c r="A29" s="7" t="s">
        <v>106</v>
      </c>
      <c r="B29" s="8" t="s">
        <v>107</v>
      </c>
      <c r="C29" s="7">
        <v>9876501228</v>
      </c>
      <c r="D29" s="8" t="s">
        <v>15</v>
      </c>
      <c r="E29" s="8" t="s">
        <v>108</v>
      </c>
      <c r="F29" s="7" t="s">
        <v>30</v>
      </c>
    </row>
    <row r="30" spans="1:6" x14ac:dyDescent="0.3">
      <c r="A30" s="7" t="s">
        <v>109</v>
      </c>
      <c r="B30" s="8" t="s">
        <v>110</v>
      </c>
      <c r="C30" s="7">
        <v>9876501229</v>
      </c>
      <c r="D30" s="8" t="s">
        <v>17</v>
      </c>
      <c r="E30" s="8" t="s">
        <v>111</v>
      </c>
      <c r="F30" s="7" t="s">
        <v>30</v>
      </c>
    </row>
    <row r="31" spans="1:6" x14ac:dyDescent="0.3">
      <c r="A31" s="7" t="s">
        <v>112</v>
      </c>
      <c r="B31" s="8" t="s">
        <v>113</v>
      </c>
      <c r="C31" s="7">
        <v>9876501230</v>
      </c>
      <c r="D31" s="8" t="s">
        <v>17</v>
      </c>
      <c r="E31" s="8" t="s">
        <v>114</v>
      </c>
      <c r="F31" s="7" t="s">
        <v>30</v>
      </c>
    </row>
    <row r="32" spans="1:6" x14ac:dyDescent="0.3">
      <c r="A32" s="7" t="s">
        <v>115</v>
      </c>
      <c r="B32" s="8" t="s">
        <v>116</v>
      </c>
      <c r="C32" s="7">
        <v>9876501231</v>
      </c>
      <c r="D32" s="8" t="s">
        <v>18</v>
      </c>
      <c r="E32" s="8" t="s">
        <v>117</v>
      </c>
      <c r="F32" s="7" t="s">
        <v>30</v>
      </c>
    </row>
    <row r="33" spans="1:6" x14ac:dyDescent="0.3">
      <c r="A33" s="7" t="s">
        <v>118</v>
      </c>
      <c r="B33" s="8" t="s">
        <v>119</v>
      </c>
      <c r="C33" s="7">
        <v>9876501232</v>
      </c>
      <c r="D33" s="8" t="s">
        <v>19</v>
      </c>
      <c r="E33" s="8" t="s">
        <v>120</v>
      </c>
      <c r="F33" s="7" t="s">
        <v>30</v>
      </c>
    </row>
    <row r="34" spans="1:6" x14ac:dyDescent="0.3">
      <c r="A34" s="7" t="s">
        <v>121</v>
      </c>
      <c r="B34" s="8" t="s">
        <v>122</v>
      </c>
      <c r="C34" s="7">
        <v>9876501233</v>
      </c>
      <c r="D34" s="8" t="s">
        <v>21</v>
      </c>
      <c r="E34" s="8" t="s">
        <v>123</v>
      </c>
      <c r="F34" s="7" t="s">
        <v>30</v>
      </c>
    </row>
    <row r="35" spans="1:6" x14ac:dyDescent="0.3">
      <c r="A35" s="7" t="s">
        <v>124</v>
      </c>
      <c r="B35" s="8" t="s">
        <v>125</v>
      </c>
      <c r="C35" s="7">
        <v>9876501234</v>
      </c>
      <c r="D35" s="8" t="s">
        <v>14</v>
      </c>
      <c r="E35" s="8" t="s">
        <v>126</v>
      </c>
      <c r="F35" s="7" t="s">
        <v>30</v>
      </c>
    </row>
    <row r="36" spans="1:6" x14ac:dyDescent="0.3">
      <c r="A36" s="7" t="s">
        <v>127</v>
      </c>
      <c r="B36" s="8" t="s">
        <v>128</v>
      </c>
      <c r="C36" s="7">
        <v>9876501235</v>
      </c>
      <c r="D36" s="8" t="s">
        <v>12</v>
      </c>
      <c r="E36" s="8" t="s">
        <v>129</v>
      </c>
      <c r="F36" s="7" t="s">
        <v>30</v>
      </c>
    </row>
    <row r="37" spans="1:6" x14ac:dyDescent="0.3">
      <c r="A37" s="7" t="s">
        <v>130</v>
      </c>
      <c r="B37" s="8" t="s">
        <v>131</v>
      </c>
      <c r="C37" s="7">
        <v>9876501236</v>
      </c>
      <c r="D37" s="8" t="s">
        <v>19</v>
      </c>
      <c r="E37" s="8" t="s">
        <v>29</v>
      </c>
      <c r="F37" s="7" t="s">
        <v>30</v>
      </c>
    </row>
    <row r="38" spans="1:6" x14ac:dyDescent="0.3">
      <c r="A38" s="7" t="s">
        <v>132</v>
      </c>
      <c r="B38" s="8" t="s">
        <v>133</v>
      </c>
      <c r="C38" s="7">
        <v>9876501237</v>
      </c>
      <c r="D38" s="8" t="s">
        <v>14</v>
      </c>
      <c r="E38" s="8" t="s">
        <v>29</v>
      </c>
      <c r="F38" s="7" t="s">
        <v>30</v>
      </c>
    </row>
    <row r="39" spans="1:6" x14ac:dyDescent="0.3">
      <c r="A39" s="7" t="s">
        <v>134</v>
      </c>
      <c r="B39" s="8" t="s">
        <v>135</v>
      </c>
      <c r="C39" s="7">
        <v>9876501238</v>
      </c>
      <c r="D39" s="8" t="s">
        <v>15</v>
      </c>
      <c r="E39" s="8" t="s">
        <v>136</v>
      </c>
      <c r="F39" s="7" t="s">
        <v>30</v>
      </c>
    </row>
    <row r="40" spans="1:6" x14ac:dyDescent="0.3">
      <c r="A40" s="7" t="s">
        <v>137</v>
      </c>
      <c r="B40" s="8" t="s">
        <v>138</v>
      </c>
      <c r="C40" s="7">
        <v>9876501239</v>
      </c>
      <c r="D40" s="8" t="s">
        <v>16</v>
      </c>
      <c r="E40" s="8" t="s">
        <v>43</v>
      </c>
      <c r="F40" s="7" t="s">
        <v>30</v>
      </c>
    </row>
    <row r="41" spans="1:6" x14ac:dyDescent="0.3">
      <c r="A41" s="7" t="s">
        <v>139</v>
      </c>
      <c r="B41" s="8" t="s">
        <v>140</v>
      </c>
      <c r="C41" s="7">
        <v>9876501240</v>
      </c>
      <c r="D41" s="8" t="s">
        <v>12</v>
      </c>
      <c r="E41" s="8" t="s">
        <v>29</v>
      </c>
      <c r="F41" s="7" t="s">
        <v>30</v>
      </c>
    </row>
    <row r="42" spans="1:6" x14ac:dyDescent="0.3">
      <c r="A42" s="7" t="s">
        <v>141</v>
      </c>
      <c r="B42" s="8" t="s">
        <v>142</v>
      </c>
      <c r="C42" s="7">
        <v>9876501241</v>
      </c>
      <c r="D42" s="8" t="s">
        <v>14</v>
      </c>
      <c r="E42" s="8" t="s">
        <v>29</v>
      </c>
      <c r="F42" s="7" t="s">
        <v>30</v>
      </c>
    </row>
    <row r="43" spans="1:6" x14ac:dyDescent="0.3">
      <c r="A43" s="7" t="s">
        <v>143</v>
      </c>
      <c r="B43" s="8" t="s">
        <v>144</v>
      </c>
      <c r="C43" s="7">
        <v>9876501242</v>
      </c>
      <c r="D43" s="8" t="s">
        <v>15</v>
      </c>
      <c r="E43" s="8" t="s">
        <v>136</v>
      </c>
      <c r="F43" s="7" t="s">
        <v>30</v>
      </c>
    </row>
    <row r="44" spans="1:6" x14ac:dyDescent="0.3">
      <c r="A44" s="7" t="s">
        <v>145</v>
      </c>
      <c r="B44" s="8" t="s">
        <v>146</v>
      </c>
      <c r="C44" s="7">
        <v>9876501243</v>
      </c>
      <c r="D44" s="8" t="s">
        <v>20</v>
      </c>
      <c r="E44" s="8" t="s">
        <v>43</v>
      </c>
      <c r="F44" s="7" t="s">
        <v>30</v>
      </c>
    </row>
    <row r="45" spans="1:6" x14ac:dyDescent="0.3">
      <c r="A45" s="7" t="s">
        <v>147</v>
      </c>
      <c r="B45" s="8" t="s">
        <v>148</v>
      </c>
      <c r="C45" s="7">
        <v>9876501244</v>
      </c>
      <c r="D45" s="8" t="s">
        <v>19</v>
      </c>
      <c r="E45" s="8" t="s">
        <v>29</v>
      </c>
      <c r="F45" s="7" t="s">
        <v>30</v>
      </c>
    </row>
    <row r="46" spans="1:6" x14ac:dyDescent="0.3">
      <c r="A46" s="7" t="s">
        <v>149</v>
      </c>
      <c r="B46" s="8" t="s">
        <v>150</v>
      </c>
      <c r="C46" s="7">
        <v>9876501245</v>
      </c>
      <c r="D46" s="8" t="s">
        <v>15</v>
      </c>
      <c r="E46" s="8" t="s">
        <v>29</v>
      </c>
      <c r="F46" s="7" t="s">
        <v>30</v>
      </c>
    </row>
    <row r="47" spans="1:6" x14ac:dyDescent="0.3">
      <c r="A47" s="7" t="s">
        <v>151</v>
      </c>
      <c r="B47" s="8" t="s">
        <v>152</v>
      </c>
      <c r="C47" s="7">
        <v>9876501246</v>
      </c>
      <c r="D47" s="8" t="s">
        <v>17</v>
      </c>
      <c r="E47" s="8" t="s">
        <v>136</v>
      </c>
      <c r="F47" s="7" t="s">
        <v>30</v>
      </c>
    </row>
    <row r="48" spans="1:6" x14ac:dyDescent="0.3">
      <c r="A48" s="7" t="s">
        <v>153</v>
      </c>
      <c r="B48" s="8" t="s">
        <v>154</v>
      </c>
      <c r="C48" s="7">
        <v>9876501247</v>
      </c>
      <c r="D48" s="8" t="s">
        <v>19</v>
      </c>
      <c r="E48" s="8" t="s">
        <v>43</v>
      </c>
      <c r="F48" s="7" t="s">
        <v>30</v>
      </c>
    </row>
    <row r="49" spans="1:6" x14ac:dyDescent="0.3">
      <c r="A49" s="7" t="s">
        <v>155</v>
      </c>
      <c r="B49" s="8" t="s">
        <v>156</v>
      </c>
      <c r="C49" s="7">
        <v>9876501248</v>
      </c>
      <c r="D49" s="8" t="s">
        <v>15</v>
      </c>
      <c r="E49" s="8" t="s">
        <v>29</v>
      </c>
      <c r="F49" s="7" t="s">
        <v>30</v>
      </c>
    </row>
    <row r="50" spans="1:6" x14ac:dyDescent="0.3">
      <c r="A50" s="7" t="s">
        <v>157</v>
      </c>
      <c r="B50" s="8" t="s">
        <v>158</v>
      </c>
      <c r="C50" s="7">
        <v>9876501249</v>
      </c>
      <c r="D50" s="8" t="s">
        <v>13</v>
      </c>
      <c r="E50" s="8" t="s">
        <v>29</v>
      </c>
      <c r="F50" s="7" t="s">
        <v>30</v>
      </c>
    </row>
    <row r="51" spans="1:6" x14ac:dyDescent="0.3">
      <c r="A51" s="7" t="s">
        <v>159</v>
      </c>
      <c r="B51" s="8" t="s">
        <v>160</v>
      </c>
      <c r="C51" s="7">
        <v>9876501250</v>
      </c>
      <c r="D51" s="8" t="s">
        <v>12</v>
      </c>
      <c r="E51" s="8" t="s">
        <v>136</v>
      </c>
      <c r="F51" s="7" t="s">
        <v>30</v>
      </c>
    </row>
    <row r="52" spans="1:6" x14ac:dyDescent="0.3">
      <c r="A52" s="7" t="s">
        <v>161</v>
      </c>
      <c r="B52" s="8" t="s">
        <v>162</v>
      </c>
      <c r="C52" s="7">
        <v>9876501251</v>
      </c>
      <c r="D52" s="8" t="s">
        <v>12</v>
      </c>
      <c r="E52" s="8" t="s">
        <v>43</v>
      </c>
      <c r="F52" s="7" t="s">
        <v>30</v>
      </c>
    </row>
    <row r="53" spans="1:6" x14ac:dyDescent="0.3">
      <c r="A53" s="7" t="s">
        <v>163</v>
      </c>
      <c r="B53" s="8" t="s">
        <v>164</v>
      </c>
      <c r="C53" s="7">
        <v>9876501252</v>
      </c>
      <c r="D53" s="8" t="s">
        <v>13</v>
      </c>
      <c r="E53" s="8" t="s">
        <v>29</v>
      </c>
      <c r="F53" s="7" t="s">
        <v>30</v>
      </c>
    </row>
    <row r="54" spans="1:6" x14ac:dyDescent="0.3">
      <c r="A54" s="7" t="s">
        <v>165</v>
      </c>
      <c r="B54" s="8" t="s">
        <v>166</v>
      </c>
      <c r="C54" s="7">
        <v>9876501253</v>
      </c>
      <c r="D54" s="8" t="s">
        <v>19</v>
      </c>
      <c r="E54" s="8" t="s">
        <v>29</v>
      </c>
      <c r="F54" s="7" t="s">
        <v>30</v>
      </c>
    </row>
    <row r="55" spans="1:6" x14ac:dyDescent="0.3">
      <c r="A55" s="7" t="s">
        <v>167</v>
      </c>
      <c r="B55" s="8" t="s">
        <v>168</v>
      </c>
      <c r="C55" s="7">
        <v>9876501254</v>
      </c>
      <c r="D55" s="8" t="s">
        <v>18</v>
      </c>
      <c r="E55" s="8" t="s">
        <v>136</v>
      </c>
      <c r="F55" s="7" t="s">
        <v>30</v>
      </c>
    </row>
    <row r="56" spans="1:6" x14ac:dyDescent="0.3">
      <c r="A56" s="7" t="s">
        <v>169</v>
      </c>
      <c r="B56" s="8" t="s">
        <v>170</v>
      </c>
      <c r="C56" s="7">
        <v>9876501255</v>
      </c>
      <c r="D56" s="8" t="s">
        <v>15</v>
      </c>
      <c r="E56" s="8" t="s">
        <v>43</v>
      </c>
      <c r="F56" s="7" t="s">
        <v>30</v>
      </c>
    </row>
    <row r="57" spans="1:6" x14ac:dyDescent="0.3">
      <c r="A57" s="7" t="s">
        <v>171</v>
      </c>
      <c r="B57" s="8" t="s">
        <v>172</v>
      </c>
      <c r="C57" s="7">
        <v>9876501256</v>
      </c>
      <c r="D57" s="8" t="s">
        <v>18</v>
      </c>
      <c r="E57" s="8" t="s">
        <v>29</v>
      </c>
      <c r="F57" s="7" t="s">
        <v>30</v>
      </c>
    </row>
    <row r="58" spans="1:6" x14ac:dyDescent="0.3">
      <c r="A58" s="7" t="s">
        <v>173</v>
      </c>
      <c r="B58" s="8" t="s">
        <v>174</v>
      </c>
      <c r="C58" s="7">
        <v>9876501257</v>
      </c>
      <c r="D58" s="8" t="s">
        <v>21</v>
      </c>
      <c r="E58" s="8" t="s">
        <v>29</v>
      </c>
      <c r="F58" s="7" t="s">
        <v>30</v>
      </c>
    </row>
    <row r="59" spans="1:6" x14ac:dyDescent="0.3">
      <c r="A59" s="7" t="s">
        <v>175</v>
      </c>
      <c r="B59" s="8" t="s">
        <v>176</v>
      </c>
      <c r="C59" s="7">
        <v>9876501258</v>
      </c>
      <c r="D59" s="8" t="s">
        <v>18</v>
      </c>
      <c r="E59" s="8" t="s">
        <v>136</v>
      </c>
      <c r="F59" s="7" t="s">
        <v>30</v>
      </c>
    </row>
    <row r="60" spans="1:6" x14ac:dyDescent="0.3">
      <c r="A60" s="7" t="s">
        <v>177</v>
      </c>
      <c r="B60" s="8" t="s">
        <v>178</v>
      </c>
      <c r="C60" s="7">
        <v>9876501259</v>
      </c>
      <c r="D60" s="8" t="s">
        <v>12</v>
      </c>
      <c r="E60" s="8" t="s">
        <v>43</v>
      </c>
      <c r="F60" s="7" t="s">
        <v>30</v>
      </c>
    </row>
    <row r="61" spans="1:6" x14ac:dyDescent="0.3">
      <c r="A61" s="7" t="s">
        <v>179</v>
      </c>
      <c r="B61" s="8" t="s">
        <v>180</v>
      </c>
      <c r="C61" s="7">
        <v>9876501260</v>
      </c>
      <c r="D61" s="8" t="s">
        <v>17</v>
      </c>
      <c r="E61" s="8" t="s">
        <v>29</v>
      </c>
      <c r="F61" s="7" t="s">
        <v>30</v>
      </c>
    </row>
    <row r="62" spans="1:6" x14ac:dyDescent="0.3">
      <c r="A62" s="7" t="s">
        <v>181</v>
      </c>
      <c r="B62" s="8" t="s">
        <v>182</v>
      </c>
      <c r="C62" s="7">
        <v>9876501261</v>
      </c>
      <c r="D62" s="8" t="s">
        <v>19</v>
      </c>
      <c r="E62" s="8" t="s">
        <v>29</v>
      </c>
      <c r="F62" s="7" t="s">
        <v>30</v>
      </c>
    </row>
    <row r="63" spans="1:6" x14ac:dyDescent="0.3">
      <c r="A63" s="7" t="s">
        <v>183</v>
      </c>
      <c r="B63" s="8" t="s">
        <v>184</v>
      </c>
      <c r="C63" s="7">
        <v>9876501262</v>
      </c>
      <c r="D63" s="8" t="s">
        <v>13</v>
      </c>
      <c r="E63" s="8" t="s">
        <v>136</v>
      </c>
      <c r="F63" s="7" t="s">
        <v>30</v>
      </c>
    </row>
    <row r="64" spans="1:6" x14ac:dyDescent="0.3">
      <c r="A64" s="7" t="s">
        <v>185</v>
      </c>
      <c r="B64" s="8" t="s">
        <v>186</v>
      </c>
      <c r="C64" s="7">
        <v>9876501263</v>
      </c>
      <c r="D64" s="8" t="s">
        <v>15</v>
      </c>
      <c r="E64" s="8" t="s">
        <v>43</v>
      </c>
      <c r="F64" s="7" t="s">
        <v>30</v>
      </c>
    </row>
    <row r="65" spans="1:6" x14ac:dyDescent="0.3">
      <c r="A65" s="7" t="s">
        <v>187</v>
      </c>
      <c r="B65" s="8" t="s">
        <v>188</v>
      </c>
      <c r="C65" s="7">
        <v>9876501264</v>
      </c>
      <c r="D65" s="8" t="s">
        <v>16</v>
      </c>
      <c r="E65" s="8" t="s">
        <v>29</v>
      </c>
      <c r="F65" s="7" t="s">
        <v>30</v>
      </c>
    </row>
    <row r="66" spans="1:6" x14ac:dyDescent="0.3">
      <c r="A66" s="7" t="s">
        <v>189</v>
      </c>
      <c r="B66" s="8" t="s">
        <v>190</v>
      </c>
      <c r="C66" s="7">
        <v>9876501265</v>
      </c>
      <c r="D66" s="8" t="s">
        <v>15</v>
      </c>
      <c r="E66" s="8" t="s">
        <v>29</v>
      </c>
      <c r="F66" s="7" t="s">
        <v>30</v>
      </c>
    </row>
    <row r="67" spans="1:6" x14ac:dyDescent="0.3">
      <c r="A67" s="7" t="s">
        <v>191</v>
      </c>
      <c r="B67" s="8" t="s">
        <v>192</v>
      </c>
      <c r="C67" s="7">
        <v>9876501266</v>
      </c>
      <c r="D67" s="8" t="s">
        <v>14</v>
      </c>
      <c r="E67" s="8" t="s">
        <v>136</v>
      </c>
      <c r="F67" s="7" t="s">
        <v>30</v>
      </c>
    </row>
    <row r="68" spans="1:6" x14ac:dyDescent="0.3">
      <c r="A68" s="7" t="s">
        <v>193</v>
      </c>
      <c r="B68" s="8" t="s">
        <v>194</v>
      </c>
      <c r="C68" s="7">
        <v>9876501267</v>
      </c>
      <c r="D68" s="8" t="s">
        <v>15</v>
      </c>
      <c r="E68" s="8" t="s">
        <v>43</v>
      </c>
      <c r="F68" s="7" t="s">
        <v>30</v>
      </c>
    </row>
    <row r="69" spans="1:6" x14ac:dyDescent="0.3">
      <c r="A69" s="7" t="s">
        <v>195</v>
      </c>
      <c r="B69" s="8" t="s">
        <v>196</v>
      </c>
      <c r="C69" s="7">
        <v>9876501268</v>
      </c>
      <c r="D69" s="8" t="s">
        <v>17</v>
      </c>
      <c r="E69" s="8" t="s">
        <v>29</v>
      </c>
      <c r="F69" s="7" t="s">
        <v>30</v>
      </c>
    </row>
    <row r="70" spans="1:6" x14ac:dyDescent="0.3">
      <c r="A70" s="7" t="s">
        <v>197</v>
      </c>
      <c r="B70" s="8" t="s">
        <v>198</v>
      </c>
      <c r="C70" s="7">
        <v>9876501269</v>
      </c>
      <c r="D70" s="8" t="s">
        <v>18</v>
      </c>
      <c r="E70" s="8" t="s">
        <v>29</v>
      </c>
      <c r="F70" s="7" t="s">
        <v>30</v>
      </c>
    </row>
    <row r="71" spans="1:6" x14ac:dyDescent="0.3">
      <c r="A71" s="7" t="s">
        <v>199</v>
      </c>
      <c r="B71" s="8" t="s">
        <v>200</v>
      </c>
      <c r="C71" s="7">
        <v>9876501270</v>
      </c>
      <c r="D71" s="8" t="s">
        <v>18</v>
      </c>
      <c r="E71" s="8" t="s">
        <v>43</v>
      </c>
      <c r="F71" s="7" t="s">
        <v>30</v>
      </c>
    </row>
    <row r="72" spans="1:6" x14ac:dyDescent="0.3">
      <c r="A72" s="7" t="s">
        <v>201</v>
      </c>
      <c r="B72" s="8" t="s">
        <v>202</v>
      </c>
      <c r="C72" s="7">
        <v>9876501271</v>
      </c>
      <c r="D72" s="8" t="s">
        <v>13</v>
      </c>
      <c r="E72" s="8" t="s">
        <v>43</v>
      </c>
      <c r="F72" s="7" t="s">
        <v>30</v>
      </c>
    </row>
    <row r="73" spans="1:6" x14ac:dyDescent="0.3">
      <c r="A73" s="7" t="s">
        <v>203</v>
      </c>
      <c r="B73" s="8" t="s">
        <v>204</v>
      </c>
      <c r="C73" s="7">
        <v>9876501272</v>
      </c>
      <c r="D73" s="8" t="s">
        <v>15</v>
      </c>
      <c r="E73" s="8" t="s">
        <v>29</v>
      </c>
      <c r="F73" s="7" t="s">
        <v>30</v>
      </c>
    </row>
    <row r="74" spans="1:6" x14ac:dyDescent="0.3">
      <c r="A74" s="7" t="s">
        <v>205</v>
      </c>
      <c r="B74" s="8" t="s">
        <v>206</v>
      </c>
      <c r="C74" s="7">
        <v>9876501273</v>
      </c>
      <c r="D74" s="8" t="s">
        <v>17</v>
      </c>
      <c r="E74" s="8" t="s">
        <v>29</v>
      </c>
      <c r="F74" s="7" t="s">
        <v>30</v>
      </c>
    </row>
    <row r="75" spans="1:6" x14ac:dyDescent="0.3">
      <c r="A75" s="7" t="s">
        <v>207</v>
      </c>
      <c r="B75" s="8" t="s">
        <v>208</v>
      </c>
      <c r="C75" s="7">
        <v>9876501274</v>
      </c>
      <c r="D75" s="8" t="s">
        <v>21</v>
      </c>
      <c r="E75" s="8" t="s">
        <v>136</v>
      </c>
      <c r="F75" s="7" t="s">
        <v>30</v>
      </c>
    </row>
    <row r="76" spans="1:6" x14ac:dyDescent="0.3">
      <c r="A76" s="7" t="s">
        <v>209</v>
      </c>
      <c r="B76" s="8" t="s">
        <v>210</v>
      </c>
      <c r="C76" s="7">
        <v>9876501275</v>
      </c>
      <c r="D76" s="8" t="s">
        <v>15</v>
      </c>
      <c r="E76" s="8" t="s">
        <v>43</v>
      </c>
      <c r="F76" s="7" t="s">
        <v>30</v>
      </c>
    </row>
    <row r="77" spans="1:6" x14ac:dyDescent="0.3">
      <c r="A77" s="7" t="s">
        <v>211</v>
      </c>
      <c r="B77" s="8" t="s">
        <v>212</v>
      </c>
      <c r="C77" s="7">
        <v>9876501276</v>
      </c>
      <c r="D77" s="8" t="s">
        <v>19</v>
      </c>
      <c r="E77" s="8" t="s">
        <v>29</v>
      </c>
      <c r="F77" s="7" t="s">
        <v>30</v>
      </c>
    </row>
    <row r="78" spans="1:6" x14ac:dyDescent="0.3">
      <c r="A78" s="7" t="s">
        <v>213</v>
      </c>
      <c r="B78" s="8" t="s">
        <v>214</v>
      </c>
      <c r="C78" s="7">
        <v>9834512701</v>
      </c>
      <c r="D78" s="8" t="s">
        <v>22</v>
      </c>
      <c r="E78" s="8" t="s">
        <v>215</v>
      </c>
      <c r="F78" s="7" t="s">
        <v>30</v>
      </c>
    </row>
    <row r="79" spans="1:6" x14ac:dyDescent="0.3">
      <c r="A79" s="7" t="s">
        <v>216</v>
      </c>
      <c r="B79" s="8" t="s">
        <v>217</v>
      </c>
      <c r="C79" s="7">
        <v>9834512702</v>
      </c>
      <c r="D79" s="8" t="s">
        <v>20</v>
      </c>
      <c r="E79" s="8" t="s">
        <v>218</v>
      </c>
      <c r="F79" s="7" t="s">
        <v>30</v>
      </c>
    </row>
    <row r="80" spans="1:6" x14ac:dyDescent="0.3">
      <c r="A80" s="7" t="s">
        <v>219</v>
      </c>
      <c r="B80" s="8" t="s">
        <v>220</v>
      </c>
      <c r="C80" s="7">
        <v>9834512703</v>
      </c>
      <c r="D80" s="8" t="s">
        <v>20</v>
      </c>
      <c r="E80" s="8" t="s">
        <v>221</v>
      </c>
      <c r="F80" s="7" t="s">
        <v>30</v>
      </c>
    </row>
    <row r="81" spans="1:6" x14ac:dyDescent="0.3">
      <c r="A81" s="7" t="s">
        <v>222</v>
      </c>
      <c r="B81" s="8" t="s">
        <v>223</v>
      </c>
      <c r="C81" s="7">
        <v>9834512704</v>
      </c>
      <c r="D81" s="8" t="s">
        <v>21</v>
      </c>
      <c r="E81" s="8" t="s">
        <v>224</v>
      </c>
      <c r="F81" s="7" t="s">
        <v>30</v>
      </c>
    </row>
    <row r="82" spans="1:6" x14ac:dyDescent="0.3">
      <c r="A82" s="7" t="s">
        <v>225</v>
      </c>
      <c r="B82" s="8" t="s">
        <v>226</v>
      </c>
      <c r="C82" s="7">
        <v>9834512705</v>
      </c>
      <c r="D82" s="8" t="s">
        <v>16</v>
      </c>
      <c r="E82" s="8" t="s">
        <v>227</v>
      </c>
      <c r="F82" s="7" t="s">
        <v>30</v>
      </c>
    </row>
    <row r="83" spans="1:6" x14ac:dyDescent="0.3">
      <c r="A83" s="7" t="s">
        <v>228</v>
      </c>
      <c r="B83" s="8" t="s">
        <v>229</v>
      </c>
      <c r="C83" s="7">
        <v>9834512706</v>
      </c>
      <c r="D83" s="8" t="s">
        <v>15</v>
      </c>
      <c r="E83" s="8" t="s">
        <v>230</v>
      </c>
      <c r="F83" s="7" t="s">
        <v>30</v>
      </c>
    </row>
    <row r="84" spans="1:6" x14ac:dyDescent="0.3">
      <c r="A84" s="7" t="s">
        <v>231</v>
      </c>
      <c r="B84" s="8" t="s">
        <v>232</v>
      </c>
      <c r="C84" s="7">
        <v>9834512707</v>
      </c>
      <c r="D84" s="8" t="s">
        <v>12</v>
      </c>
      <c r="E84" s="8" t="s">
        <v>233</v>
      </c>
      <c r="F84" s="7" t="s">
        <v>30</v>
      </c>
    </row>
    <row r="85" spans="1:6" x14ac:dyDescent="0.3">
      <c r="A85" s="7" t="s">
        <v>234</v>
      </c>
      <c r="B85" s="8" t="s">
        <v>235</v>
      </c>
      <c r="C85" s="7">
        <v>9834512708</v>
      </c>
      <c r="D85" s="8" t="s">
        <v>12</v>
      </c>
      <c r="E85" s="8" t="s">
        <v>236</v>
      </c>
      <c r="F85" s="7" t="s">
        <v>30</v>
      </c>
    </row>
    <row r="86" spans="1:6" x14ac:dyDescent="0.3">
      <c r="A86" s="7" t="s">
        <v>237</v>
      </c>
      <c r="B86" s="8" t="s">
        <v>238</v>
      </c>
      <c r="C86" s="7">
        <v>9834512709</v>
      </c>
      <c r="D86" s="8" t="s">
        <v>19</v>
      </c>
      <c r="E86" s="8" t="s">
        <v>239</v>
      </c>
      <c r="F86" s="7" t="s">
        <v>30</v>
      </c>
    </row>
    <row r="87" spans="1:6" x14ac:dyDescent="0.3">
      <c r="A87" s="7" t="s">
        <v>240</v>
      </c>
      <c r="B87" s="8" t="s">
        <v>241</v>
      </c>
      <c r="C87" s="7">
        <v>9834512710</v>
      </c>
      <c r="D87" s="8" t="s">
        <v>20</v>
      </c>
      <c r="E87" s="8" t="s">
        <v>242</v>
      </c>
      <c r="F87" s="7" t="s">
        <v>30</v>
      </c>
    </row>
    <row r="88" spans="1:6" x14ac:dyDescent="0.3">
      <c r="A88" s="7" t="s">
        <v>243</v>
      </c>
      <c r="B88" s="8" t="s">
        <v>244</v>
      </c>
      <c r="C88" s="7">
        <v>9834512711</v>
      </c>
      <c r="D88" s="8" t="s">
        <v>12</v>
      </c>
      <c r="E88" s="8" t="s">
        <v>245</v>
      </c>
      <c r="F88" s="7" t="s">
        <v>30</v>
      </c>
    </row>
    <row r="89" spans="1:6" x14ac:dyDescent="0.3">
      <c r="A89" s="7" t="s">
        <v>246</v>
      </c>
      <c r="B89" s="8" t="s">
        <v>247</v>
      </c>
      <c r="C89" s="7">
        <v>9834512712</v>
      </c>
      <c r="D89" s="8" t="s">
        <v>13</v>
      </c>
      <c r="E89" s="8" t="s">
        <v>248</v>
      </c>
      <c r="F89" s="7" t="s">
        <v>30</v>
      </c>
    </row>
    <row r="90" spans="1:6" x14ac:dyDescent="0.3">
      <c r="A90" s="7" t="s">
        <v>249</v>
      </c>
      <c r="B90" s="8" t="s">
        <v>250</v>
      </c>
      <c r="C90" s="7">
        <v>9834512713</v>
      </c>
      <c r="D90" s="8" t="s">
        <v>14</v>
      </c>
      <c r="E90" s="8" t="s">
        <v>251</v>
      </c>
      <c r="F90" s="7" t="s">
        <v>30</v>
      </c>
    </row>
    <row r="91" spans="1:6" x14ac:dyDescent="0.3">
      <c r="A91" s="7" t="s">
        <v>252</v>
      </c>
      <c r="B91" s="8" t="s">
        <v>253</v>
      </c>
      <c r="C91" s="7">
        <v>9834512714</v>
      </c>
      <c r="D91" s="8" t="s">
        <v>15</v>
      </c>
      <c r="E91" s="8" t="s">
        <v>254</v>
      </c>
      <c r="F91" s="7" t="s">
        <v>30</v>
      </c>
    </row>
    <row r="92" spans="1:6" x14ac:dyDescent="0.3">
      <c r="A92" s="7" t="s">
        <v>255</v>
      </c>
      <c r="B92" s="8" t="s">
        <v>256</v>
      </c>
      <c r="C92" s="7">
        <v>9834512715</v>
      </c>
      <c r="D92" s="8" t="s">
        <v>16</v>
      </c>
      <c r="E92" s="8" t="s">
        <v>257</v>
      </c>
      <c r="F92" s="7" t="s">
        <v>30</v>
      </c>
    </row>
    <row r="93" spans="1:6" x14ac:dyDescent="0.3">
      <c r="A93" s="7" t="s">
        <v>258</v>
      </c>
      <c r="B93" s="8" t="s">
        <v>259</v>
      </c>
      <c r="C93" s="7">
        <v>9834512716</v>
      </c>
      <c r="D93" s="8" t="s">
        <v>17</v>
      </c>
      <c r="E93" s="8" t="s">
        <v>260</v>
      </c>
      <c r="F93" s="7" t="s">
        <v>30</v>
      </c>
    </row>
    <row r="94" spans="1:6" x14ac:dyDescent="0.3">
      <c r="A94" s="7" t="s">
        <v>261</v>
      </c>
      <c r="B94" s="8" t="s">
        <v>262</v>
      </c>
      <c r="C94" s="7">
        <v>9834512717</v>
      </c>
      <c r="D94" s="8" t="s">
        <v>18</v>
      </c>
      <c r="E94" s="8" t="s">
        <v>263</v>
      </c>
      <c r="F94" s="7" t="s">
        <v>30</v>
      </c>
    </row>
    <row r="95" spans="1:6" x14ac:dyDescent="0.3">
      <c r="A95" s="7" t="s">
        <v>264</v>
      </c>
      <c r="B95" s="8" t="s">
        <v>265</v>
      </c>
      <c r="C95" s="7">
        <v>9834512718</v>
      </c>
      <c r="D95" s="8" t="s">
        <v>19</v>
      </c>
      <c r="E95" s="8" t="s">
        <v>266</v>
      </c>
      <c r="F95" s="7" t="s">
        <v>30</v>
      </c>
    </row>
    <row r="96" spans="1:6" x14ac:dyDescent="0.3">
      <c r="A96" s="7" t="s">
        <v>267</v>
      </c>
      <c r="B96" s="8" t="s">
        <v>268</v>
      </c>
      <c r="C96" s="7">
        <v>9834512719</v>
      </c>
      <c r="D96" s="8" t="s">
        <v>21</v>
      </c>
      <c r="E96" s="8" t="s">
        <v>269</v>
      </c>
      <c r="F96" s="7" t="s">
        <v>30</v>
      </c>
    </row>
    <row r="97" spans="1:6" x14ac:dyDescent="0.3">
      <c r="A97" s="7" t="s">
        <v>270</v>
      </c>
      <c r="B97" s="8" t="s">
        <v>271</v>
      </c>
      <c r="C97" s="7">
        <v>9834512720</v>
      </c>
      <c r="D97" s="8" t="s">
        <v>21</v>
      </c>
      <c r="E97" s="8" t="s">
        <v>272</v>
      </c>
      <c r="F97" s="7" t="s">
        <v>30</v>
      </c>
    </row>
    <row r="98" spans="1:6" x14ac:dyDescent="0.3">
      <c r="A98" s="7" t="s">
        <v>273</v>
      </c>
      <c r="B98" s="8" t="s">
        <v>274</v>
      </c>
      <c r="C98" s="7">
        <v>9834512721</v>
      </c>
      <c r="D98" s="8" t="s">
        <v>22</v>
      </c>
      <c r="E98" s="8" t="s">
        <v>275</v>
      </c>
      <c r="F98" s="7" t="s">
        <v>30</v>
      </c>
    </row>
    <row r="99" spans="1:6" x14ac:dyDescent="0.3">
      <c r="A99" s="7" t="s">
        <v>276</v>
      </c>
      <c r="B99" s="8" t="s">
        <v>277</v>
      </c>
      <c r="C99" s="7">
        <v>9834512722</v>
      </c>
      <c r="D99" s="8" t="s">
        <v>22</v>
      </c>
      <c r="E99" s="8" t="s">
        <v>278</v>
      </c>
      <c r="F99" s="7" t="s">
        <v>30</v>
      </c>
    </row>
    <row r="100" spans="1:6" x14ac:dyDescent="0.3">
      <c r="A100" s="7" t="s">
        <v>279</v>
      </c>
      <c r="B100" s="8" t="s">
        <v>280</v>
      </c>
      <c r="C100" s="7">
        <v>9834512723</v>
      </c>
      <c r="D100" s="8" t="s">
        <v>21</v>
      </c>
      <c r="E100" s="8" t="s">
        <v>281</v>
      </c>
      <c r="F100" s="7" t="s">
        <v>30</v>
      </c>
    </row>
    <row r="101" spans="1:6" x14ac:dyDescent="0.3">
      <c r="A101" s="7" t="s">
        <v>282</v>
      </c>
      <c r="B101" s="8" t="s">
        <v>283</v>
      </c>
      <c r="C101" s="7">
        <v>9834512724</v>
      </c>
      <c r="D101" s="8" t="s">
        <v>20</v>
      </c>
      <c r="E101" s="8" t="s">
        <v>284</v>
      </c>
      <c r="F101" s="7" t="s">
        <v>30</v>
      </c>
    </row>
    <row r="102" spans="1:6" x14ac:dyDescent="0.3">
      <c r="A102" s="7" t="s">
        <v>285</v>
      </c>
      <c r="B102" s="8" t="s">
        <v>286</v>
      </c>
      <c r="C102" s="7">
        <v>9834512725</v>
      </c>
      <c r="D102" s="8" t="s">
        <v>20</v>
      </c>
      <c r="E102" s="8" t="s">
        <v>287</v>
      </c>
      <c r="F102" s="7" t="s">
        <v>30</v>
      </c>
    </row>
    <row r="103" spans="1:6" x14ac:dyDescent="0.3">
      <c r="A103" s="7" t="s">
        <v>288</v>
      </c>
      <c r="B103" s="8" t="s">
        <v>289</v>
      </c>
      <c r="C103" s="7">
        <v>9834512726</v>
      </c>
      <c r="D103" s="8" t="s">
        <v>19</v>
      </c>
      <c r="E103" s="8" t="s">
        <v>290</v>
      </c>
      <c r="F103" s="7" t="s">
        <v>30</v>
      </c>
    </row>
    <row r="104" spans="1:6" x14ac:dyDescent="0.3">
      <c r="A104" s="7" t="s">
        <v>291</v>
      </c>
      <c r="B104" s="8" t="s">
        <v>292</v>
      </c>
      <c r="C104" s="7">
        <v>9834512727</v>
      </c>
      <c r="D104" s="8" t="s">
        <v>18</v>
      </c>
      <c r="E104" s="8" t="s">
        <v>293</v>
      </c>
      <c r="F104" s="7" t="s">
        <v>30</v>
      </c>
    </row>
    <row r="105" spans="1:6" x14ac:dyDescent="0.3">
      <c r="A105" s="7" t="s">
        <v>294</v>
      </c>
      <c r="B105" s="8" t="s">
        <v>295</v>
      </c>
      <c r="C105" s="7">
        <v>9834512728</v>
      </c>
      <c r="D105" s="8" t="s">
        <v>18</v>
      </c>
      <c r="E105" s="8" t="s">
        <v>296</v>
      </c>
      <c r="F105" s="7" t="s">
        <v>30</v>
      </c>
    </row>
    <row r="106" spans="1:6" x14ac:dyDescent="0.3">
      <c r="A106" s="7" t="s">
        <v>297</v>
      </c>
      <c r="B106" s="8" t="s">
        <v>298</v>
      </c>
      <c r="C106" s="7">
        <v>9834512729</v>
      </c>
      <c r="D106" s="8" t="s">
        <v>17</v>
      </c>
      <c r="E106" s="8" t="s">
        <v>299</v>
      </c>
      <c r="F106" s="7" t="s">
        <v>30</v>
      </c>
    </row>
    <row r="107" spans="1:6" x14ac:dyDescent="0.3">
      <c r="A107" s="7" t="s">
        <v>300</v>
      </c>
      <c r="B107" s="8" t="s">
        <v>301</v>
      </c>
      <c r="C107" s="7">
        <v>9834512730</v>
      </c>
      <c r="D107" s="8" t="s">
        <v>16</v>
      </c>
      <c r="E107" s="8" t="s">
        <v>302</v>
      </c>
      <c r="F107" s="7" t="s">
        <v>30</v>
      </c>
    </row>
    <row r="108" spans="1:6" x14ac:dyDescent="0.3">
      <c r="A108" s="7" t="s">
        <v>303</v>
      </c>
      <c r="B108" s="8" t="s">
        <v>304</v>
      </c>
      <c r="C108" s="7">
        <v>9834512731</v>
      </c>
      <c r="D108" s="8" t="s">
        <v>15</v>
      </c>
      <c r="E108" s="8" t="s">
        <v>305</v>
      </c>
      <c r="F108" s="7" t="s">
        <v>30</v>
      </c>
    </row>
    <row r="109" spans="1:6" x14ac:dyDescent="0.3">
      <c r="A109" s="7" t="s">
        <v>306</v>
      </c>
      <c r="B109" s="8" t="s">
        <v>307</v>
      </c>
      <c r="C109" s="7">
        <v>9834512732</v>
      </c>
      <c r="D109" s="8" t="s">
        <v>14</v>
      </c>
      <c r="E109" s="8" t="s">
        <v>308</v>
      </c>
      <c r="F109" s="7" t="s">
        <v>30</v>
      </c>
    </row>
    <row r="110" spans="1:6" x14ac:dyDescent="0.3">
      <c r="A110" s="7" t="s">
        <v>309</v>
      </c>
      <c r="B110" s="8" t="s">
        <v>310</v>
      </c>
      <c r="C110" s="7">
        <v>9834512733</v>
      </c>
      <c r="D110" s="8" t="s">
        <v>13</v>
      </c>
      <c r="E110" s="8" t="s">
        <v>311</v>
      </c>
      <c r="F110" s="7" t="s">
        <v>30</v>
      </c>
    </row>
    <row r="111" spans="1:6" x14ac:dyDescent="0.3">
      <c r="A111" s="7" t="s">
        <v>312</v>
      </c>
      <c r="B111" s="8" t="s">
        <v>313</v>
      </c>
      <c r="C111" s="7">
        <v>9834512734</v>
      </c>
      <c r="D111" s="8" t="s">
        <v>12</v>
      </c>
      <c r="E111" s="8" t="s">
        <v>314</v>
      </c>
      <c r="F111" s="7" t="s">
        <v>30</v>
      </c>
    </row>
    <row r="112" spans="1:6" x14ac:dyDescent="0.3">
      <c r="A112" s="7" t="s">
        <v>315</v>
      </c>
      <c r="B112" s="8" t="s">
        <v>316</v>
      </c>
      <c r="C112" s="7">
        <v>9834512735</v>
      </c>
      <c r="D112" s="8" t="s">
        <v>14</v>
      </c>
      <c r="E112" s="8" t="s">
        <v>317</v>
      </c>
      <c r="F112" s="7" t="s">
        <v>30</v>
      </c>
    </row>
  </sheetData>
  <pageMargins left="0.25" right="0.25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38DF9-DB31-49D4-A9D0-D0CB00ECAEFC}">
  <sheetPr codeName="Sheet2">
    <tabColor theme="9" tint="-0.249977111117893"/>
  </sheetPr>
  <dimension ref="A1:H89"/>
  <sheetViews>
    <sheetView showGridLines="0" showRowColHeaders="0" workbookViewId="0">
      <pane ySplit="1" topLeftCell="A89" activePane="bottomLeft" state="frozen"/>
      <selection pane="bottomLeft"/>
    </sheetView>
  </sheetViews>
  <sheetFormatPr defaultRowHeight="14.4" x14ac:dyDescent="0.3"/>
  <cols>
    <col min="1" max="1" width="9.5" style="10" customWidth="1"/>
    <col min="2" max="2" width="10.8984375" style="10" customWidth="1"/>
    <col min="3" max="3" width="37.59765625" style="11" customWidth="1"/>
    <col min="4" max="4" width="37.5" style="11" customWidth="1"/>
    <col min="5" max="5" width="17.8984375" style="10" customWidth="1"/>
    <col min="6" max="6" width="17.69921875" style="12" customWidth="1"/>
    <col min="7" max="7" width="17.5" style="13" customWidth="1"/>
    <col min="8" max="8" width="12.8984375" style="13" customWidth="1"/>
    <col min="9" max="16384" width="8.796875" style="3"/>
  </cols>
  <sheetData>
    <row r="1" spans="1:8" s="4" customFormat="1" ht="27" customHeight="1" x14ac:dyDescent="0.3">
      <c r="A1" s="14" t="s">
        <v>6</v>
      </c>
      <c r="B1" s="14" t="s">
        <v>0</v>
      </c>
      <c r="C1" s="14" t="s">
        <v>1</v>
      </c>
      <c r="D1" s="14" t="s">
        <v>3</v>
      </c>
      <c r="E1" s="14" t="s">
        <v>2</v>
      </c>
      <c r="F1" s="15" t="s">
        <v>7</v>
      </c>
      <c r="G1" s="16" t="s">
        <v>8</v>
      </c>
      <c r="H1" s="16" t="s">
        <v>9</v>
      </c>
    </row>
    <row r="2" spans="1:8" x14ac:dyDescent="0.3">
      <c r="A2" s="10">
        <v>1</v>
      </c>
      <c r="B2" s="10" t="s">
        <v>32</v>
      </c>
      <c r="C2" s="11" t="s">
        <v>33</v>
      </c>
      <c r="D2" s="11" t="s">
        <v>22</v>
      </c>
      <c r="E2" s="10">
        <v>9876501202</v>
      </c>
      <c r="F2" s="12">
        <v>46202</v>
      </c>
      <c r="G2" s="13">
        <v>0.7999074074074074</v>
      </c>
      <c r="H2" s="13">
        <v>0.80383101851851857</v>
      </c>
    </row>
    <row r="3" spans="1:8" x14ac:dyDescent="0.3">
      <c r="A3" s="10">
        <v>2</v>
      </c>
      <c r="B3" s="10" t="s">
        <v>41</v>
      </c>
      <c r="C3" s="11" t="s">
        <v>42</v>
      </c>
      <c r="D3" s="11" t="s">
        <v>22</v>
      </c>
      <c r="E3" s="10">
        <v>9876501205</v>
      </c>
      <c r="F3" s="12">
        <v>46202</v>
      </c>
      <c r="G3" s="13">
        <v>0.79998842592592589</v>
      </c>
      <c r="H3" s="13">
        <v>0.80306712962962967</v>
      </c>
    </row>
    <row r="4" spans="1:8" x14ac:dyDescent="0.3">
      <c r="A4" s="10">
        <v>3</v>
      </c>
      <c r="B4" s="10" t="s">
        <v>51</v>
      </c>
      <c r="C4" s="11" t="s">
        <v>52</v>
      </c>
      <c r="D4" s="11" t="s">
        <v>21</v>
      </c>
      <c r="E4" s="10">
        <v>9876501209</v>
      </c>
      <c r="F4" s="12">
        <v>46202</v>
      </c>
      <c r="G4" s="13">
        <v>0.80005787037037035</v>
      </c>
      <c r="H4" s="13">
        <v>0.80457175925925928</v>
      </c>
    </row>
    <row r="5" spans="1:8" x14ac:dyDescent="0.3">
      <c r="A5" s="10">
        <v>4</v>
      </c>
      <c r="B5" s="10" t="s">
        <v>54</v>
      </c>
      <c r="C5" s="11" t="s">
        <v>55</v>
      </c>
      <c r="D5" s="11" t="s">
        <v>21</v>
      </c>
      <c r="E5" s="10">
        <v>9876501210</v>
      </c>
      <c r="F5" s="12">
        <v>46202</v>
      </c>
      <c r="G5" s="13">
        <v>0.80013888888888884</v>
      </c>
      <c r="H5" s="13">
        <v>0.80464120370370373</v>
      </c>
    </row>
    <row r="6" spans="1:8" x14ac:dyDescent="0.3">
      <c r="A6" s="10">
        <v>5</v>
      </c>
      <c r="B6" s="10" t="s">
        <v>77</v>
      </c>
      <c r="C6" s="11" t="s">
        <v>78</v>
      </c>
      <c r="D6" s="11" t="s">
        <v>21</v>
      </c>
      <c r="E6" s="10">
        <v>9876501218</v>
      </c>
      <c r="F6" s="12">
        <v>46202</v>
      </c>
      <c r="G6" s="13">
        <v>0.8002083333333333</v>
      </c>
      <c r="H6" s="13">
        <v>0.80561342592592589</v>
      </c>
    </row>
    <row r="7" spans="1:8" x14ac:dyDescent="0.3">
      <c r="A7" s="10">
        <v>6</v>
      </c>
      <c r="B7" s="10" t="s">
        <v>175</v>
      </c>
      <c r="C7" s="11" t="s">
        <v>176</v>
      </c>
      <c r="D7" s="11" t="s">
        <v>18</v>
      </c>
      <c r="E7" s="10">
        <v>9876501258</v>
      </c>
      <c r="F7" s="12">
        <v>46202</v>
      </c>
      <c r="G7" s="13">
        <v>0.80027777777777775</v>
      </c>
      <c r="H7" s="13">
        <v>0.80325231481481485</v>
      </c>
    </row>
    <row r="8" spans="1:8" x14ac:dyDescent="0.3">
      <c r="A8" s="10">
        <v>7</v>
      </c>
      <c r="B8" s="10" t="s">
        <v>177</v>
      </c>
      <c r="C8" s="11" t="s">
        <v>178</v>
      </c>
      <c r="D8" s="11" t="s">
        <v>12</v>
      </c>
      <c r="E8" s="10">
        <v>9876501259</v>
      </c>
      <c r="F8" s="12">
        <v>46202</v>
      </c>
      <c r="G8" s="13">
        <v>0.80043981481481485</v>
      </c>
      <c r="H8" s="13">
        <v>0.83225694444444442</v>
      </c>
    </row>
    <row r="9" spans="1:8" x14ac:dyDescent="0.3">
      <c r="A9" s="10">
        <v>8</v>
      </c>
      <c r="B9" s="10" t="s">
        <v>167</v>
      </c>
      <c r="C9" s="11" t="s">
        <v>168</v>
      </c>
      <c r="D9" s="11" t="s">
        <v>18</v>
      </c>
      <c r="E9" s="10">
        <v>9876501254</v>
      </c>
      <c r="F9" s="12">
        <v>46202</v>
      </c>
      <c r="G9" s="13">
        <v>0.80055555555555558</v>
      </c>
      <c r="H9" s="13">
        <v>0.83189814814814811</v>
      </c>
    </row>
    <row r="10" spans="1:8" x14ac:dyDescent="0.3">
      <c r="A10" s="10">
        <v>9</v>
      </c>
      <c r="B10" s="10" t="s">
        <v>173</v>
      </c>
      <c r="C10" s="11" t="s">
        <v>174</v>
      </c>
      <c r="D10" s="11" t="s">
        <v>21</v>
      </c>
      <c r="E10" s="10">
        <v>9876501257</v>
      </c>
      <c r="F10" s="12">
        <v>46202</v>
      </c>
      <c r="G10" s="13">
        <v>0.80063657407407407</v>
      </c>
      <c r="H10" s="13">
        <v>0.83215277777777774</v>
      </c>
    </row>
    <row r="11" spans="1:8" x14ac:dyDescent="0.3">
      <c r="A11" s="10">
        <v>10</v>
      </c>
      <c r="B11" s="10" t="s">
        <v>130</v>
      </c>
      <c r="C11" s="11" t="s">
        <v>131</v>
      </c>
      <c r="D11" s="11" t="s">
        <v>19</v>
      </c>
      <c r="E11" s="10">
        <v>9876501236</v>
      </c>
      <c r="F11" s="12">
        <v>46202</v>
      </c>
      <c r="G11" s="13">
        <v>0.80070601851851853</v>
      </c>
      <c r="H11" s="13">
        <v>0.8071990740740741</v>
      </c>
    </row>
    <row r="12" spans="1:8" x14ac:dyDescent="0.3">
      <c r="A12" s="10">
        <v>11</v>
      </c>
      <c r="B12" s="10" t="s">
        <v>97</v>
      </c>
      <c r="C12" s="11" t="s">
        <v>98</v>
      </c>
      <c r="D12" s="11" t="s">
        <v>21</v>
      </c>
      <c r="E12" s="10">
        <v>9876501225</v>
      </c>
      <c r="F12" s="12">
        <v>46202</v>
      </c>
      <c r="G12" s="13">
        <v>0.80077546296296298</v>
      </c>
      <c r="H12" s="13">
        <v>0.80364583333333328</v>
      </c>
    </row>
    <row r="13" spans="1:8" x14ac:dyDescent="0.3">
      <c r="A13" s="10">
        <v>12</v>
      </c>
      <c r="B13" s="10" t="s">
        <v>31</v>
      </c>
      <c r="C13" s="11" t="s">
        <v>28</v>
      </c>
      <c r="D13" s="11" t="s">
        <v>21</v>
      </c>
      <c r="E13" s="10">
        <v>9876501201</v>
      </c>
      <c r="F13" s="12">
        <v>46202</v>
      </c>
      <c r="G13" s="13">
        <v>0.80137731481481478</v>
      </c>
      <c r="H13" s="13">
        <v>0.80376157407407411</v>
      </c>
    </row>
    <row r="14" spans="1:8" x14ac:dyDescent="0.3">
      <c r="A14" s="10">
        <v>13</v>
      </c>
      <c r="B14" s="10" t="s">
        <v>48</v>
      </c>
      <c r="C14" s="11" t="s">
        <v>49</v>
      </c>
      <c r="D14" s="11" t="s">
        <v>22</v>
      </c>
      <c r="E14" s="10">
        <v>9876501208</v>
      </c>
      <c r="F14" s="12">
        <v>46202</v>
      </c>
      <c r="G14" s="13">
        <v>0.80144675925925923</v>
      </c>
      <c r="H14" s="13">
        <v>0.80439814814814814</v>
      </c>
    </row>
    <row r="15" spans="1:8" x14ac:dyDescent="0.3">
      <c r="A15" s="10">
        <v>14</v>
      </c>
      <c r="B15" s="10" t="s">
        <v>86</v>
      </c>
      <c r="C15" s="11" t="s">
        <v>87</v>
      </c>
      <c r="D15" s="11" t="s">
        <v>16</v>
      </c>
      <c r="E15" s="10">
        <v>9876501221</v>
      </c>
      <c r="F15" s="12">
        <v>46202</v>
      </c>
      <c r="G15" s="13">
        <v>0.80155092592592592</v>
      </c>
      <c r="H15" s="13">
        <v>0.80585648148148148</v>
      </c>
    </row>
    <row r="16" spans="1:8" x14ac:dyDescent="0.3">
      <c r="A16" s="10">
        <v>15</v>
      </c>
      <c r="B16" s="10" t="s">
        <v>88</v>
      </c>
      <c r="C16" s="11" t="s">
        <v>89</v>
      </c>
      <c r="D16" s="11" t="s">
        <v>16</v>
      </c>
      <c r="E16" s="10">
        <v>9876501222</v>
      </c>
      <c r="F16" s="12">
        <v>46202</v>
      </c>
      <c r="G16" s="13">
        <v>0.80162037037037037</v>
      </c>
      <c r="H16" s="13">
        <v>0.80593749999999997</v>
      </c>
    </row>
    <row r="17" spans="1:8" x14ac:dyDescent="0.3">
      <c r="A17" s="10">
        <v>16</v>
      </c>
      <c r="B17" s="10" t="s">
        <v>94</v>
      </c>
      <c r="C17" s="11" t="s">
        <v>95</v>
      </c>
      <c r="D17" s="11" t="s">
        <v>21</v>
      </c>
      <c r="E17" s="10">
        <v>9876501224</v>
      </c>
      <c r="F17" s="12">
        <v>46202</v>
      </c>
      <c r="G17" s="13">
        <v>0.80168981481481483</v>
      </c>
      <c r="H17" s="13">
        <v>0.80607638888888888</v>
      </c>
    </row>
    <row r="18" spans="1:8" x14ac:dyDescent="0.3">
      <c r="A18" s="10">
        <v>17</v>
      </c>
      <c r="B18" s="10" t="s">
        <v>141</v>
      </c>
      <c r="C18" s="11" t="s">
        <v>142</v>
      </c>
      <c r="D18" s="11" t="s">
        <v>14</v>
      </c>
      <c r="E18" s="10">
        <v>9876501241</v>
      </c>
      <c r="F18" s="12">
        <v>46202</v>
      </c>
      <c r="G18" s="13">
        <v>0.80179398148148151</v>
      </c>
      <c r="H18" s="13">
        <v>0.80755787037037041</v>
      </c>
    </row>
    <row r="19" spans="1:8" x14ac:dyDescent="0.3">
      <c r="A19" s="10">
        <v>18</v>
      </c>
      <c r="B19" s="10" t="s">
        <v>171</v>
      </c>
      <c r="C19" s="11" t="s">
        <v>172</v>
      </c>
      <c r="D19" s="11" t="s">
        <v>18</v>
      </c>
      <c r="E19" s="10">
        <v>9876501256</v>
      </c>
      <c r="F19" s="12">
        <v>46202</v>
      </c>
      <c r="G19" s="13">
        <v>0.80189814814814819</v>
      </c>
      <c r="H19" s="13">
        <v>0.83209490740740744</v>
      </c>
    </row>
    <row r="20" spans="1:8" x14ac:dyDescent="0.3">
      <c r="A20" s="10">
        <v>19</v>
      </c>
      <c r="B20" s="10" t="s">
        <v>27</v>
      </c>
      <c r="C20" s="11" t="s">
        <v>44</v>
      </c>
      <c r="D20" s="11" t="s">
        <v>16</v>
      </c>
      <c r="E20" s="10">
        <v>9876501206</v>
      </c>
      <c r="F20" s="12">
        <v>46202</v>
      </c>
      <c r="G20" s="13">
        <v>0.80209490740740741</v>
      </c>
      <c r="H20" s="13">
        <v>0.80420138888888892</v>
      </c>
    </row>
    <row r="21" spans="1:8" x14ac:dyDescent="0.3">
      <c r="A21" s="10">
        <v>20</v>
      </c>
      <c r="B21" s="10" t="s">
        <v>118</v>
      </c>
      <c r="C21" s="11" t="s">
        <v>119</v>
      </c>
      <c r="D21" s="11" t="s">
        <v>19</v>
      </c>
      <c r="E21" s="10">
        <v>9876501232</v>
      </c>
      <c r="F21" s="12">
        <v>46202</v>
      </c>
      <c r="G21" s="13">
        <v>0.80218750000000005</v>
      </c>
      <c r="H21" s="13">
        <v>0.8067361111111111</v>
      </c>
    </row>
    <row r="22" spans="1:8" x14ac:dyDescent="0.3">
      <c r="A22" s="10">
        <v>21</v>
      </c>
      <c r="B22" s="10" t="s">
        <v>234</v>
      </c>
      <c r="C22" s="11" t="s">
        <v>235</v>
      </c>
      <c r="D22" s="11" t="s">
        <v>12</v>
      </c>
      <c r="E22" s="10">
        <v>9834512708</v>
      </c>
      <c r="F22" s="12">
        <v>46202</v>
      </c>
      <c r="G22" s="13">
        <v>0.80232638888888885</v>
      </c>
      <c r="H22" s="13">
        <v>0.83406250000000004</v>
      </c>
    </row>
    <row r="23" spans="1:8" x14ac:dyDescent="0.3">
      <c r="A23" s="10">
        <v>22</v>
      </c>
      <c r="B23" s="10" t="s">
        <v>216</v>
      </c>
      <c r="C23" s="11" t="s">
        <v>217</v>
      </c>
      <c r="D23" s="11" t="s">
        <v>20</v>
      </c>
      <c r="E23" s="10">
        <v>9834512702</v>
      </c>
      <c r="F23" s="12">
        <v>46202</v>
      </c>
      <c r="G23" s="13">
        <v>0.80353009259259256</v>
      </c>
      <c r="H23" s="13">
        <v>0.83347222222222217</v>
      </c>
    </row>
    <row r="24" spans="1:8" x14ac:dyDescent="0.3">
      <c r="A24" s="10">
        <v>23</v>
      </c>
      <c r="B24" s="10" t="s">
        <v>35</v>
      </c>
      <c r="C24" s="11" t="s">
        <v>36</v>
      </c>
      <c r="D24" s="11" t="s">
        <v>16</v>
      </c>
      <c r="E24" s="10">
        <v>9876501203</v>
      </c>
      <c r="F24" s="12">
        <v>46202</v>
      </c>
      <c r="G24" s="13">
        <v>0.80393518518518514</v>
      </c>
      <c r="H24" s="13">
        <v>0.8287268518518518</v>
      </c>
    </row>
    <row r="25" spans="1:8" x14ac:dyDescent="0.3">
      <c r="A25" s="10">
        <v>24</v>
      </c>
      <c r="B25" s="10" t="s">
        <v>38</v>
      </c>
      <c r="C25" s="11" t="s">
        <v>39</v>
      </c>
      <c r="D25" s="11" t="s">
        <v>22</v>
      </c>
      <c r="E25" s="10">
        <v>9876501204</v>
      </c>
      <c r="F25" s="12">
        <v>46202</v>
      </c>
      <c r="G25" s="13">
        <v>0.8040046296296296</v>
      </c>
      <c r="H25" s="13">
        <v>0.82879629629629625</v>
      </c>
    </row>
    <row r="26" spans="1:8" x14ac:dyDescent="0.3">
      <c r="A26" s="10">
        <v>25</v>
      </c>
      <c r="B26" s="10" t="s">
        <v>41</v>
      </c>
      <c r="C26" s="11" t="s">
        <v>42</v>
      </c>
      <c r="D26" s="11" t="s">
        <v>22</v>
      </c>
      <c r="E26" s="10">
        <v>9876501205</v>
      </c>
      <c r="F26" s="12">
        <v>46202</v>
      </c>
      <c r="G26" s="13">
        <v>0.80412037037037032</v>
      </c>
      <c r="H26" s="13">
        <v>0.82887731481481486</v>
      </c>
    </row>
    <row r="27" spans="1:8" x14ac:dyDescent="0.3">
      <c r="A27" s="10">
        <v>26</v>
      </c>
      <c r="B27" s="10" t="s">
        <v>46</v>
      </c>
      <c r="C27" s="11" t="s">
        <v>47</v>
      </c>
      <c r="D27" s="11" t="s">
        <v>16</v>
      </c>
      <c r="E27" s="10">
        <v>9876501207</v>
      </c>
      <c r="F27" s="12">
        <v>46202</v>
      </c>
      <c r="G27" s="13">
        <v>0.80428240740740742</v>
      </c>
      <c r="H27" s="13">
        <v>0.82899305555555558</v>
      </c>
    </row>
    <row r="28" spans="1:8" x14ac:dyDescent="0.3">
      <c r="A28" s="10">
        <v>27</v>
      </c>
      <c r="B28" s="10" t="s">
        <v>48</v>
      </c>
      <c r="C28" s="11" t="s">
        <v>49</v>
      </c>
      <c r="D28" s="11" t="s">
        <v>22</v>
      </c>
      <c r="E28" s="10">
        <v>9876501208</v>
      </c>
      <c r="F28" s="12">
        <v>46202</v>
      </c>
      <c r="G28" s="13">
        <v>0.80442129629629633</v>
      </c>
      <c r="H28" s="13">
        <v>0.80445601851851856</v>
      </c>
    </row>
    <row r="29" spans="1:8" x14ac:dyDescent="0.3">
      <c r="A29" s="10">
        <v>28</v>
      </c>
      <c r="B29" s="10" t="s">
        <v>57</v>
      </c>
      <c r="C29" s="11" t="s">
        <v>58</v>
      </c>
      <c r="D29" s="11" t="s">
        <v>22</v>
      </c>
      <c r="E29" s="10">
        <v>9876501211</v>
      </c>
      <c r="F29" s="12">
        <v>46202</v>
      </c>
      <c r="G29" s="13">
        <v>0.80471064814814819</v>
      </c>
      <c r="H29" s="13">
        <v>0.82925925925925925</v>
      </c>
    </row>
    <row r="30" spans="1:8" x14ac:dyDescent="0.3">
      <c r="A30" s="10">
        <v>29</v>
      </c>
      <c r="B30" s="10" t="s">
        <v>60</v>
      </c>
      <c r="C30" s="11" t="s">
        <v>61</v>
      </c>
      <c r="D30" s="11" t="s">
        <v>22</v>
      </c>
      <c r="E30" s="10">
        <v>9876501212</v>
      </c>
      <c r="F30" s="12">
        <v>46202</v>
      </c>
      <c r="G30" s="13">
        <v>0.80478009259259264</v>
      </c>
      <c r="H30" s="13">
        <v>0.805150462962963</v>
      </c>
    </row>
    <row r="31" spans="1:8" x14ac:dyDescent="0.3">
      <c r="A31" s="10">
        <v>30</v>
      </c>
      <c r="B31" s="10" t="s">
        <v>63</v>
      </c>
      <c r="C31" s="11" t="s">
        <v>64</v>
      </c>
      <c r="D31" s="11" t="s">
        <v>22</v>
      </c>
      <c r="E31" s="10">
        <v>9876501213</v>
      </c>
      <c r="F31" s="12">
        <v>46202</v>
      </c>
      <c r="G31" s="13">
        <v>0.80521990740740745</v>
      </c>
      <c r="H31" s="13">
        <v>0.82936342592592593</v>
      </c>
    </row>
    <row r="32" spans="1:8" x14ac:dyDescent="0.3">
      <c r="A32" s="10">
        <v>31</v>
      </c>
      <c r="B32" s="10" t="s">
        <v>66</v>
      </c>
      <c r="C32" s="11" t="s">
        <v>67</v>
      </c>
      <c r="D32" s="11" t="s">
        <v>16</v>
      </c>
      <c r="E32" s="10">
        <v>9876501214</v>
      </c>
      <c r="F32" s="12">
        <v>46202</v>
      </c>
      <c r="G32" s="13">
        <v>0.80527777777777776</v>
      </c>
      <c r="H32" s="13">
        <v>0.82943287037037039</v>
      </c>
    </row>
    <row r="33" spans="1:8" x14ac:dyDescent="0.3">
      <c r="A33" s="10">
        <v>32</v>
      </c>
      <c r="B33" s="10" t="s">
        <v>69</v>
      </c>
      <c r="C33" s="11" t="s">
        <v>70</v>
      </c>
      <c r="D33" s="11" t="s">
        <v>16</v>
      </c>
      <c r="E33" s="10">
        <v>9876501215</v>
      </c>
      <c r="F33" s="12">
        <v>46202</v>
      </c>
      <c r="G33" s="13">
        <v>0.80533564814814818</v>
      </c>
      <c r="H33" s="13">
        <v>0.82950231481481485</v>
      </c>
    </row>
    <row r="34" spans="1:8" x14ac:dyDescent="0.3">
      <c r="A34" s="10">
        <v>33</v>
      </c>
      <c r="B34" s="10" t="s">
        <v>72</v>
      </c>
      <c r="C34" s="11" t="s">
        <v>73</v>
      </c>
      <c r="D34" s="11" t="s">
        <v>21</v>
      </c>
      <c r="E34" s="10">
        <v>9876501216</v>
      </c>
      <c r="F34" s="12">
        <v>46202</v>
      </c>
      <c r="G34" s="13">
        <v>0.8054513888888889</v>
      </c>
      <c r="H34" s="13">
        <v>0.8295717592592593</v>
      </c>
    </row>
    <row r="35" spans="1:8" x14ac:dyDescent="0.3">
      <c r="A35" s="10">
        <v>34</v>
      </c>
      <c r="B35" s="10" t="s">
        <v>75</v>
      </c>
      <c r="C35" s="11" t="s">
        <v>76</v>
      </c>
      <c r="D35" s="11" t="s">
        <v>16</v>
      </c>
      <c r="E35" s="10">
        <v>9876501217</v>
      </c>
      <c r="F35" s="12">
        <v>46202</v>
      </c>
      <c r="G35" s="13">
        <v>0.80552083333333335</v>
      </c>
      <c r="H35" s="13">
        <v>0.82964120370370376</v>
      </c>
    </row>
    <row r="36" spans="1:8" x14ac:dyDescent="0.3">
      <c r="A36" s="10">
        <v>35</v>
      </c>
      <c r="B36" s="10" t="s">
        <v>80</v>
      </c>
      <c r="C36" s="11" t="s">
        <v>81</v>
      </c>
      <c r="D36" s="11" t="s">
        <v>16</v>
      </c>
      <c r="E36" s="10">
        <v>9876501219</v>
      </c>
      <c r="F36" s="12">
        <v>46202</v>
      </c>
      <c r="G36" s="13">
        <v>0.80568287037037034</v>
      </c>
      <c r="H36" s="13">
        <v>0.82974537037037033</v>
      </c>
    </row>
    <row r="37" spans="1:8" x14ac:dyDescent="0.3">
      <c r="A37" s="10">
        <v>36</v>
      </c>
      <c r="B37" s="10" t="s">
        <v>83</v>
      </c>
      <c r="C37" s="11" t="s">
        <v>84</v>
      </c>
      <c r="D37" s="11" t="s">
        <v>22</v>
      </c>
      <c r="E37" s="10">
        <v>9876501220</v>
      </c>
      <c r="F37" s="12">
        <v>46202</v>
      </c>
      <c r="G37" s="13">
        <v>0.8057523148148148</v>
      </c>
      <c r="H37" s="13">
        <v>0.82981481481481478</v>
      </c>
    </row>
    <row r="38" spans="1:8" x14ac:dyDescent="0.3">
      <c r="A38" s="10">
        <v>37</v>
      </c>
      <c r="B38" s="10" t="s">
        <v>91</v>
      </c>
      <c r="C38" s="11" t="s">
        <v>92</v>
      </c>
      <c r="D38" s="11" t="s">
        <v>22</v>
      </c>
      <c r="E38" s="10">
        <v>9876501223</v>
      </c>
      <c r="F38" s="12">
        <v>46202</v>
      </c>
      <c r="G38" s="13">
        <v>0.80600694444444443</v>
      </c>
      <c r="H38" s="13">
        <v>0.83</v>
      </c>
    </row>
    <row r="39" spans="1:8" x14ac:dyDescent="0.3">
      <c r="A39" s="10">
        <v>38</v>
      </c>
      <c r="B39" s="10" t="s">
        <v>97</v>
      </c>
      <c r="C39" s="11" t="s">
        <v>98</v>
      </c>
      <c r="D39" s="11" t="s">
        <v>21</v>
      </c>
      <c r="E39" s="10">
        <v>9876501225</v>
      </c>
      <c r="F39" s="12">
        <v>46202</v>
      </c>
      <c r="G39" s="13">
        <v>0.80616898148148153</v>
      </c>
      <c r="H39" s="13">
        <v>0.83015046296296291</v>
      </c>
    </row>
    <row r="40" spans="1:8" x14ac:dyDescent="0.3">
      <c r="A40" s="10">
        <v>39</v>
      </c>
      <c r="B40" s="10" t="s">
        <v>100</v>
      </c>
      <c r="C40" s="11" t="s">
        <v>101</v>
      </c>
      <c r="D40" s="11" t="s">
        <v>16</v>
      </c>
      <c r="E40" s="10">
        <v>9876501226</v>
      </c>
      <c r="F40" s="12">
        <v>46202</v>
      </c>
      <c r="G40" s="13">
        <v>0.80623842592592587</v>
      </c>
      <c r="H40" s="13">
        <v>0.83020833333333333</v>
      </c>
    </row>
    <row r="41" spans="1:8" x14ac:dyDescent="0.3">
      <c r="A41" s="10">
        <v>40</v>
      </c>
      <c r="B41" s="10" t="s">
        <v>103</v>
      </c>
      <c r="C41" s="11" t="s">
        <v>104</v>
      </c>
      <c r="D41" s="11" t="s">
        <v>12</v>
      </c>
      <c r="E41" s="10">
        <v>9876501227</v>
      </c>
      <c r="F41" s="12">
        <v>46202</v>
      </c>
      <c r="G41" s="13">
        <v>0.80630787037037033</v>
      </c>
      <c r="H41" s="13">
        <v>0.83026620370370374</v>
      </c>
    </row>
    <row r="42" spans="1:8" x14ac:dyDescent="0.3">
      <c r="A42" s="10">
        <v>41</v>
      </c>
      <c r="B42" s="10" t="s">
        <v>106</v>
      </c>
      <c r="C42" s="11" t="s">
        <v>107</v>
      </c>
      <c r="D42" s="11" t="s">
        <v>15</v>
      </c>
      <c r="E42" s="10">
        <v>9876501228</v>
      </c>
      <c r="F42" s="12">
        <v>46202</v>
      </c>
      <c r="G42" s="13">
        <v>0.80640046296296297</v>
      </c>
      <c r="H42" s="13">
        <v>0.83031250000000001</v>
      </c>
    </row>
    <row r="43" spans="1:8" x14ac:dyDescent="0.3">
      <c r="A43" s="10">
        <v>42</v>
      </c>
      <c r="B43" s="10" t="s">
        <v>109</v>
      </c>
      <c r="C43" s="11" t="s">
        <v>110</v>
      </c>
      <c r="D43" s="11" t="s">
        <v>17</v>
      </c>
      <c r="E43" s="10">
        <v>9876501229</v>
      </c>
      <c r="F43" s="12">
        <v>46202</v>
      </c>
      <c r="G43" s="13">
        <v>0.80648148148148147</v>
      </c>
      <c r="H43" s="13">
        <v>0.8303935185185185</v>
      </c>
    </row>
    <row r="44" spans="1:8" x14ac:dyDescent="0.3">
      <c r="A44" s="10">
        <v>43</v>
      </c>
      <c r="B44" s="10" t="s">
        <v>112</v>
      </c>
      <c r="C44" s="11" t="s">
        <v>113</v>
      </c>
      <c r="D44" s="11" t="s">
        <v>17</v>
      </c>
      <c r="E44" s="10">
        <v>9876501230</v>
      </c>
      <c r="F44" s="12">
        <v>46202</v>
      </c>
      <c r="G44" s="13">
        <v>0.80659722222222219</v>
      </c>
      <c r="H44" s="13">
        <v>0.83045138888888892</v>
      </c>
    </row>
    <row r="45" spans="1:8" x14ac:dyDescent="0.3">
      <c r="A45" s="10">
        <v>44</v>
      </c>
      <c r="B45" s="10" t="s">
        <v>115</v>
      </c>
      <c r="C45" s="11" t="s">
        <v>116</v>
      </c>
      <c r="D45" s="11" t="s">
        <v>18</v>
      </c>
      <c r="E45" s="10">
        <v>9876501231</v>
      </c>
      <c r="F45" s="12">
        <v>46202</v>
      </c>
      <c r="G45" s="13">
        <v>0.80666666666666664</v>
      </c>
      <c r="H45" s="13">
        <v>0.83050925925925922</v>
      </c>
    </row>
    <row r="46" spans="1:8" x14ac:dyDescent="0.3">
      <c r="A46" s="10">
        <v>45</v>
      </c>
      <c r="B46" s="10" t="s">
        <v>121</v>
      </c>
      <c r="C46" s="11" t="s">
        <v>122</v>
      </c>
      <c r="D46" s="11" t="s">
        <v>21</v>
      </c>
      <c r="E46" s="10">
        <v>9876501233</v>
      </c>
      <c r="F46" s="12">
        <v>46202</v>
      </c>
      <c r="G46" s="13">
        <v>0.80684027777777778</v>
      </c>
      <c r="H46" s="13">
        <v>0.83067129629629632</v>
      </c>
    </row>
    <row r="47" spans="1:8" x14ac:dyDescent="0.3">
      <c r="A47" s="10">
        <v>46</v>
      </c>
      <c r="B47" s="10" t="s">
        <v>124</v>
      </c>
      <c r="C47" s="11" t="s">
        <v>125</v>
      </c>
      <c r="D47" s="11" t="s">
        <v>14</v>
      </c>
      <c r="E47" s="10">
        <v>9876501234</v>
      </c>
      <c r="F47" s="12">
        <v>46202</v>
      </c>
      <c r="G47" s="13">
        <v>0.80696759259259254</v>
      </c>
      <c r="H47" s="13">
        <v>0.83074074074074078</v>
      </c>
    </row>
    <row r="48" spans="1:8" x14ac:dyDescent="0.3">
      <c r="A48" s="10">
        <v>47</v>
      </c>
      <c r="B48" s="10" t="s">
        <v>127</v>
      </c>
      <c r="C48" s="11" t="s">
        <v>128</v>
      </c>
      <c r="D48" s="11" t="s">
        <v>12</v>
      </c>
      <c r="E48" s="10">
        <v>9876501235</v>
      </c>
      <c r="F48" s="12">
        <v>46202</v>
      </c>
      <c r="G48" s="13">
        <v>0.80710648148148145</v>
      </c>
      <c r="H48" s="13">
        <v>0.83079861111111108</v>
      </c>
    </row>
    <row r="49" spans="1:8" x14ac:dyDescent="0.3">
      <c r="A49" s="10">
        <v>48</v>
      </c>
      <c r="B49" s="10" t="s">
        <v>132</v>
      </c>
      <c r="C49" s="11" t="s">
        <v>133</v>
      </c>
      <c r="D49" s="11" t="s">
        <v>14</v>
      </c>
      <c r="E49" s="10">
        <v>9876501237</v>
      </c>
      <c r="F49" s="12">
        <v>46202</v>
      </c>
      <c r="G49" s="13">
        <v>0.80726851851851855</v>
      </c>
      <c r="H49" s="13">
        <v>0.8308564814814815</v>
      </c>
    </row>
    <row r="50" spans="1:8" x14ac:dyDescent="0.3">
      <c r="A50" s="10">
        <v>49</v>
      </c>
      <c r="B50" s="10" t="s">
        <v>134</v>
      </c>
      <c r="C50" s="11" t="s">
        <v>135</v>
      </c>
      <c r="D50" s="11" t="s">
        <v>15</v>
      </c>
      <c r="E50" s="10">
        <v>9876501238</v>
      </c>
      <c r="F50" s="12">
        <v>46202</v>
      </c>
      <c r="G50" s="13">
        <v>0.80733796296296301</v>
      </c>
      <c r="H50" s="13">
        <v>0.8309375</v>
      </c>
    </row>
    <row r="51" spans="1:8" x14ac:dyDescent="0.3">
      <c r="A51" s="10">
        <v>50</v>
      </c>
      <c r="B51" s="10" t="s">
        <v>137</v>
      </c>
      <c r="C51" s="11" t="s">
        <v>138</v>
      </c>
      <c r="D51" s="11" t="s">
        <v>16</v>
      </c>
      <c r="E51" s="10">
        <v>9876501239</v>
      </c>
      <c r="F51" s="12">
        <v>46202</v>
      </c>
      <c r="G51" s="13">
        <v>0.80739583333333331</v>
      </c>
      <c r="H51" s="13">
        <v>0.83101851851851849</v>
      </c>
    </row>
    <row r="52" spans="1:8" x14ac:dyDescent="0.3">
      <c r="A52" s="10">
        <v>51</v>
      </c>
      <c r="B52" s="10" t="s">
        <v>139</v>
      </c>
      <c r="C52" s="11" t="s">
        <v>140</v>
      </c>
      <c r="D52" s="11" t="s">
        <v>12</v>
      </c>
      <c r="E52" s="10">
        <v>9876501240</v>
      </c>
      <c r="F52" s="12">
        <v>46202</v>
      </c>
      <c r="G52" s="13">
        <v>0.80747685185185181</v>
      </c>
      <c r="H52" s="13">
        <v>0.83106481481481487</v>
      </c>
    </row>
    <row r="53" spans="1:8" x14ac:dyDescent="0.3">
      <c r="A53" s="10">
        <v>52</v>
      </c>
      <c r="B53" s="10" t="s">
        <v>143</v>
      </c>
      <c r="C53" s="11" t="s">
        <v>144</v>
      </c>
      <c r="D53" s="11" t="s">
        <v>15</v>
      </c>
      <c r="E53" s="10">
        <v>9876501242</v>
      </c>
      <c r="F53" s="12">
        <v>46202</v>
      </c>
      <c r="G53" s="13">
        <v>0.80761574074074072</v>
      </c>
      <c r="H53" s="13">
        <v>0.83116898148148144</v>
      </c>
    </row>
    <row r="54" spans="1:8" x14ac:dyDescent="0.3">
      <c r="A54" s="10">
        <v>53</v>
      </c>
      <c r="B54" s="10" t="s">
        <v>145</v>
      </c>
      <c r="C54" s="11" t="s">
        <v>146</v>
      </c>
      <c r="D54" s="11" t="s">
        <v>20</v>
      </c>
      <c r="E54" s="10">
        <v>9876501243</v>
      </c>
      <c r="F54" s="12">
        <v>46202</v>
      </c>
      <c r="G54" s="13">
        <v>0.80768518518518517</v>
      </c>
      <c r="H54" s="13">
        <v>0.83122685185185186</v>
      </c>
    </row>
    <row r="55" spans="1:8" x14ac:dyDescent="0.3">
      <c r="A55" s="10">
        <v>54</v>
      </c>
      <c r="B55" s="10" t="s">
        <v>147</v>
      </c>
      <c r="C55" s="11" t="s">
        <v>148</v>
      </c>
      <c r="D55" s="11" t="s">
        <v>19</v>
      </c>
      <c r="E55" s="10">
        <v>9876501244</v>
      </c>
      <c r="F55" s="12">
        <v>46202</v>
      </c>
      <c r="G55" s="13">
        <v>0.80778935185185186</v>
      </c>
      <c r="H55" s="13">
        <v>0.83127314814814812</v>
      </c>
    </row>
    <row r="56" spans="1:8" x14ac:dyDescent="0.3">
      <c r="A56" s="10">
        <v>55</v>
      </c>
      <c r="B56" s="10" t="s">
        <v>149</v>
      </c>
      <c r="C56" s="11" t="s">
        <v>150</v>
      </c>
      <c r="D56" s="11" t="s">
        <v>15</v>
      </c>
      <c r="E56" s="10">
        <v>9876501245</v>
      </c>
      <c r="F56" s="12">
        <v>46202</v>
      </c>
      <c r="G56" s="13">
        <v>0.80790509259259258</v>
      </c>
      <c r="H56" s="13">
        <v>0.83133101851851854</v>
      </c>
    </row>
    <row r="57" spans="1:8" x14ac:dyDescent="0.3">
      <c r="A57" s="10">
        <v>56</v>
      </c>
      <c r="B57" s="10" t="s">
        <v>151</v>
      </c>
      <c r="C57" s="11" t="s">
        <v>152</v>
      </c>
      <c r="D57" s="11" t="s">
        <v>17</v>
      </c>
      <c r="E57" s="10">
        <v>9876501246</v>
      </c>
      <c r="F57" s="12">
        <v>46202</v>
      </c>
      <c r="G57" s="13">
        <v>0.80800925925925926</v>
      </c>
      <c r="H57" s="13">
        <v>0.83138888888888884</v>
      </c>
    </row>
    <row r="58" spans="1:8" x14ac:dyDescent="0.3">
      <c r="A58" s="10">
        <v>57</v>
      </c>
      <c r="B58" s="10" t="s">
        <v>153</v>
      </c>
      <c r="C58" s="11" t="s">
        <v>154</v>
      </c>
      <c r="D58" s="11" t="s">
        <v>19</v>
      </c>
      <c r="E58" s="10">
        <v>9876501247</v>
      </c>
      <c r="F58" s="12">
        <v>46202</v>
      </c>
      <c r="G58" s="13">
        <v>0.80809027777777775</v>
      </c>
      <c r="H58" s="13">
        <v>0.83144675925925926</v>
      </c>
    </row>
    <row r="59" spans="1:8" x14ac:dyDescent="0.3">
      <c r="A59" s="10">
        <v>58</v>
      </c>
      <c r="B59" s="10" t="s">
        <v>155</v>
      </c>
      <c r="C59" s="11" t="s">
        <v>156</v>
      </c>
      <c r="D59" s="11" t="s">
        <v>15</v>
      </c>
      <c r="E59" s="10">
        <v>9876501248</v>
      </c>
      <c r="F59" s="12">
        <v>46202</v>
      </c>
      <c r="G59" s="13">
        <v>0.80814814814814817</v>
      </c>
      <c r="H59" s="13">
        <v>0.83149305555555553</v>
      </c>
    </row>
    <row r="60" spans="1:8" x14ac:dyDescent="0.3">
      <c r="A60" s="10">
        <v>59</v>
      </c>
      <c r="B60" s="10" t="s">
        <v>157</v>
      </c>
      <c r="C60" s="11" t="s">
        <v>158</v>
      </c>
      <c r="D60" s="11" t="s">
        <v>13</v>
      </c>
      <c r="E60" s="10">
        <v>9876501249</v>
      </c>
      <c r="F60" s="12">
        <v>46202</v>
      </c>
      <c r="G60" s="13">
        <v>0.80821759259259263</v>
      </c>
      <c r="H60" s="13">
        <v>0.83157407407407402</v>
      </c>
    </row>
    <row r="61" spans="1:8" x14ac:dyDescent="0.3">
      <c r="A61" s="10">
        <v>60</v>
      </c>
      <c r="B61" s="10" t="s">
        <v>159</v>
      </c>
      <c r="C61" s="11" t="s">
        <v>160</v>
      </c>
      <c r="D61" s="11" t="s">
        <v>12</v>
      </c>
      <c r="E61" s="10">
        <v>9876501250</v>
      </c>
      <c r="F61" s="12">
        <v>46202</v>
      </c>
      <c r="G61" s="13">
        <v>0.80839120370370365</v>
      </c>
      <c r="H61" s="13">
        <v>0.83165509259259263</v>
      </c>
    </row>
    <row r="62" spans="1:8" x14ac:dyDescent="0.3">
      <c r="A62" s="10">
        <v>61</v>
      </c>
      <c r="B62" s="10" t="s">
        <v>161</v>
      </c>
      <c r="C62" s="11" t="s">
        <v>162</v>
      </c>
      <c r="D62" s="11" t="s">
        <v>12</v>
      </c>
      <c r="E62" s="10">
        <v>9876501251</v>
      </c>
      <c r="F62" s="12">
        <v>46202</v>
      </c>
      <c r="G62" s="13">
        <v>0.80851851851851853</v>
      </c>
      <c r="H62" s="13">
        <v>0.83170138888888889</v>
      </c>
    </row>
    <row r="63" spans="1:8" x14ac:dyDescent="0.3">
      <c r="A63" s="10">
        <v>62</v>
      </c>
      <c r="B63" s="10" t="s">
        <v>163</v>
      </c>
      <c r="C63" s="11" t="s">
        <v>164</v>
      </c>
      <c r="D63" s="11" t="s">
        <v>13</v>
      </c>
      <c r="E63" s="10">
        <v>9876501252</v>
      </c>
      <c r="F63" s="12">
        <v>46202</v>
      </c>
      <c r="G63" s="13">
        <v>0.80859953703703702</v>
      </c>
      <c r="H63" s="13">
        <v>0.83177083333333335</v>
      </c>
    </row>
    <row r="64" spans="1:8" x14ac:dyDescent="0.3">
      <c r="A64" s="10">
        <v>63</v>
      </c>
      <c r="B64" s="10" t="s">
        <v>165</v>
      </c>
      <c r="C64" s="11" t="s">
        <v>166</v>
      </c>
      <c r="D64" s="11" t="s">
        <v>19</v>
      </c>
      <c r="E64" s="10">
        <v>9876501253</v>
      </c>
      <c r="F64" s="12">
        <v>46202</v>
      </c>
      <c r="G64" s="13">
        <v>0.80869212962962966</v>
      </c>
      <c r="H64" s="13">
        <v>0.83182870370370365</v>
      </c>
    </row>
    <row r="65" spans="1:8" x14ac:dyDescent="0.3">
      <c r="A65" s="10">
        <v>64</v>
      </c>
      <c r="B65" s="10" t="s">
        <v>169</v>
      </c>
      <c r="C65" s="11" t="s">
        <v>170</v>
      </c>
      <c r="D65" s="11" t="s">
        <v>15</v>
      </c>
      <c r="E65" s="10">
        <v>9876501255</v>
      </c>
      <c r="F65" s="12">
        <v>46202</v>
      </c>
      <c r="G65" s="13">
        <v>0.80890046296296292</v>
      </c>
      <c r="H65" s="13">
        <v>0.83197916666666671</v>
      </c>
    </row>
    <row r="66" spans="1:8" x14ac:dyDescent="0.3">
      <c r="A66" s="10">
        <v>65</v>
      </c>
      <c r="B66" s="10" t="s">
        <v>175</v>
      </c>
      <c r="C66" s="11" t="s">
        <v>176</v>
      </c>
      <c r="D66" s="11" t="s">
        <v>18</v>
      </c>
      <c r="E66" s="10">
        <v>9876501258</v>
      </c>
      <c r="F66" s="12">
        <v>46202</v>
      </c>
      <c r="G66" s="13">
        <v>0.80912037037037032</v>
      </c>
      <c r="H66" s="13">
        <v>0.83221064814814816</v>
      </c>
    </row>
    <row r="67" spans="1:8" x14ac:dyDescent="0.3">
      <c r="A67" s="10">
        <v>66</v>
      </c>
      <c r="B67" s="10" t="s">
        <v>179</v>
      </c>
      <c r="C67" s="11" t="s">
        <v>180</v>
      </c>
      <c r="D67" s="11" t="s">
        <v>17</v>
      </c>
      <c r="E67" s="10">
        <v>9876501260</v>
      </c>
      <c r="F67" s="12">
        <v>46202</v>
      </c>
      <c r="G67" s="13">
        <v>0.80937499999999996</v>
      </c>
      <c r="H67" s="13">
        <v>0.83233796296296292</v>
      </c>
    </row>
    <row r="68" spans="1:8" x14ac:dyDescent="0.3">
      <c r="A68" s="10">
        <v>67</v>
      </c>
      <c r="B68" s="10" t="s">
        <v>181</v>
      </c>
      <c r="C68" s="11" t="s">
        <v>182</v>
      </c>
      <c r="D68" s="11" t="s">
        <v>19</v>
      </c>
      <c r="E68" s="10">
        <v>9876501261</v>
      </c>
      <c r="F68" s="12">
        <v>46202</v>
      </c>
      <c r="G68" s="13">
        <v>0.80944444444444441</v>
      </c>
      <c r="H68" s="13">
        <v>0.83245370370370375</v>
      </c>
    </row>
    <row r="69" spans="1:8" x14ac:dyDescent="0.3">
      <c r="A69" s="10">
        <v>68</v>
      </c>
      <c r="B69" s="10" t="s">
        <v>183</v>
      </c>
      <c r="C69" s="11" t="s">
        <v>184</v>
      </c>
      <c r="D69" s="11" t="s">
        <v>13</v>
      </c>
      <c r="E69" s="10">
        <v>9876501262</v>
      </c>
      <c r="F69" s="12">
        <v>46202</v>
      </c>
      <c r="G69" s="13">
        <v>0.80950231481481483</v>
      </c>
      <c r="H69" s="13">
        <v>0.83251157407407406</v>
      </c>
    </row>
    <row r="70" spans="1:8" x14ac:dyDescent="0.3">
      <c r="A70" s="10">
        <v>69</v>
      </c>
      <c r="B70" s="10" t="s">
        <v>185</v>
      </c>
      <c r="C70" s="11" t="s">
        <v>186</v>
      </c>
      <c r="D70" s="11" t="s">
        <v>15</v>
      </c>
      <c r="E70" s="10">
        <v>9876501263</v>
      </c>
      <c r="F70" s="12">
        <v>46202</v>
      </c>
      <c r="G70" s="13">
        <v>0.80958333333333332</v>
      </c>
      <c r="H70" s="13">
        <v>0.83255787037037032</v>
      </c>
    </row>
    <row r="71" spans="1:8" x14ac:dyDescent="0.3">
      <c r="A71" s="10">
        <v>70</v>
      </c>
      <c r="B71" s="10" t="s">
        <v>187</v>
      </c>
      <c r="C71" s="11" t="s">
        <v>188</v>
      </c>
      <c r="D71" s="11" t="s">
        <v>16</v>
      </c>
      <c r="E71" s="10">
        <v>9876501264</v>
      </c>
      <c r="F71" s="12">
        <v>46202</v>
      </c>
      <c r="G71" s="13">
        <v>0.80964120370370374</v>
      </c>
      <c r="H71" s="13">
        <v>0.83261574074074074</v>
      </c>
    </row>
    <row r="72" spans="1:8" x14ac:dyDescent="0.3">
      <c r="A72" s="10">
        <v>71</v>
      </c>
      <c r="B72" s="10" t="s">
        <v>189</v>
      </c>
      <c r="C72" s="11" t="s">
        <v>190</v>
      </c>
      <c r="D72" s="11" t="s">
        <v>15</v>
      </c>
      <c r="E72" s="10">
        <v>9876501265</v>
      </c>
      <c r="F72" s="12">
        <v>46202</v>
      </c>
      <c r="G72" s="13">
        <v>0.80969907407407404</v>
      </c>
      <c r="H72" s="13">
        <v>0.83267361111111116</v>
      </c>
    </row>
    <row r="73" spans="1:8" x14ac:dyDescent="0.3">
      <c r="A73" s="10">
        <v>72</v>
      </c>
      <c r="B73" s="10" t="s">
        <v>191</v>
      </c>
      <c r="C73" s="11" t="s">
        <v>192</v>
      </c>
      <c r="D73" s="11" t="s">
        <v>14</v>
      </c>
      <c r="E73" s="10">
        <v>9876501266</v>
      </c>
      <c r="F73" s="12">
        <v>46202</v>
      </c>
      <c r="G73" s="13">
        <v>0.80983796296296295</v>
      </c>
      <c r="H73" s="13">
        <v>0.83275462962962965</v>
      </c>
    </row>
    <row r="74" spans="1:8" x14ac:dyDescent="0.3">
      <c r="A74" s="10">
        <v>73</v>
      </c>
      <c r="B74" s="10" t="s">
        <v>193</v>
      </c>
      <c r="C74" s="11" t="s">
        <v>194</v>
      </c>
      <c r="D74" s="11" t="s">
        <v>15</v>
      </c>
      <c r="E74" s="10">
        <v>9876501267</v>
      </c>
      <c r="F74" s="12">
        <v>46202</v>
      </c>
      <c r="G74" s="13">
        <v>0.80990740740740741</v>
      </c>
      <c r="H74" s="13">
        <v>0.83280092592592592</v>
      </c>
    </row>
    <row r="75" spans="1:8" x14ac:dyDescent="0.3">
      <c r="A75" s="10">
        <v>74</v>
      </c>
      <c r="B75" s="10" t="s">
        <v>195</v>
      </c>
      <c r="C75" s="11" t="s">
        <v>196</v>
      </c>
      <c r="D75" s="11" t="s">
        <v>17</v>
      </c>
      <c r="E75" s="10">
        <v>9876501268</v>
      </c>
      <c r="F75" s="12">
        <v>46202</v>
      </c>
      <c r="G75" s="13">
        <v>0.80997685185185186</v>
      </c>
      <c r="H75" s="13">
        <v>0.83285879629629633</v>
      </c>
    </row>
    <row r="76" spans="1:8" x14ac:dyDescent="0.3">
      <c r="A76" s="10">
        <v>75</v>
      </c>
      <c r="B76" s="10" t="s">
        <v>197</v>
      </c>
      <c r="C76" s="11" t="s">
        <v>198</v>
      </c>
      <c r="D76" s="11" t="s">
        <v>18</v>
      </c>
      <c r="E76" s="10">
        <v>9876501269</v>
      </c>
      <c r="F76" s="12">
        <v>46202</v>
      </c>
      <c r="G76" s="13">
        <v>0.81004629629629632</v>
      </c>
      <c r="H76" s="13">
        <v>0.83292824074074079</v>
      </c>
    </row>
    <row r="77" spans="1:8" x14ac:dyDescent="0.3">
      <c r="A77" s="10">
        <v>76</v>
      </c>
      <c r="B77" s="10" t="s">
        <v>199</v>
      </c>
      <c r="C77" s="11" t="s">
        <v>200</v>
      </c>
      <c r="D77" s="11" t="s">
        <v>18</v>
      </c>
      <c r="E77" s="10">
        <v>9876501270</v>
      </c>
      <c r="F77" s="12">
        <v>46202</v>
      </c>
      <c r="G77" s="13">
        <v>0.81010416666666663</v>
      </c>
      <c r="H77" s="13">
        <v>0.83298611111111109</v>
      </c>
    </row>
    <row r="78" spans="1:8" x14ac:dyDescent="0.3">
      <c r="A78" s="10">
        <v>77</v>
      </c>
      <c r="B78" s="10" t="s">
        <v>201</v>
      </c>
      <c r="C78" s="11" t="s">
        <v>202</v>
      </c>
      <c r="D78" s="11" t="s">
        <v>13</v>
      </c>
      <c r="E78" s="10">
        <v>9876501271</v>
      </c>
      <c r="F78" s="12">
        <v>46202</v>
      </c>
      <c r="G78" s="13">
        <v>0.81016203703703704</v>
      </c>
      <c r="H78" s="13">
        <v>0.83304398148148151</v>
      </c>
    </row>
    <row r="79" spans="1:8" x14ac:dyDescent="0.3">
      <c r="A79" s="10">
        <v>78</v>
      </c>
      <c r="B79" s="10" t="s">
        <v>203</v>
      </c>
      <c r="C79" s="11" t="s">
        <v>204</v>
      </c>
      <c r="D79" s="11" t="s">
        <v>15</v>
      </c>
      <c r="E79" s="10">
        <v>9876501272</v>
      </c>
      <c r="F79" s="12">
        <v>46202</v>
      </c>
      <c r="G79" s="13">
        <v>0.8102314814814815</v>
      </c>
      <c r="H79" s="13">
        <v>0.83309027777777778</v>
      </c>
    </row>
    <row r="80" spans="1:8" x14ac:dyDescent="0.3">
      <c r="A80" s="10">
        <v>79</v>
      </c>
      <c r="B80" s="10" t="s">
        <v>205</v>
      </c>
      <c r="C80" s="11" t="s">
        <v>206</v>
      </c>
      <c r="D80" s="11" t="s">
        <v>17</v>
      </c>
      <c r="E80" s="10">
        <v>9876501273</v>
      </c>
      <c r="F80" s="12">
        <v>46202</v>
      </c>
      <c r="G80" s="13">
        <v>0.81030092592592595</v>
      </c>
      <c r="H80" s="13">
        <v>0.83313657407407404</v>
      </c>
    </row>
    <row r="81" spans="1:8" x14ac:dyDescent="0.3">
      <c r="A81" s="10">
        <v>80</v>
      </c>
      <c r="B81" s="10" t="s">
        <v>207</v>
      </c>
      <c r="C81" s="11" t="s">
        <v>208</v>
      </c>
      <c r="D81" s="11" t="s">
        <v>21</v>
      </c>
      <c r="E81" s="10">
        <v>9876501274</v>
      </c>
      <c r="F81" s="12">
        <v>46202</v>
      </c>
      <c r="G81" s="13">
        <v>0.81037037037037041</v>
      </c>
      <c r="H81" s="13">
        <v>0.83318287037037042</v>
      </c>
    </row>
    <row r="82" spans="1:8" x14ac:dyDescent="0.3">
      <c r="A82" s="10">
        <v>81</v>
      </c>
      <c r="B82" s="10" t="s">
        <v>209</v>
      </c>
      <c r="C82" s="11" t="s">
        <v>210</v>
      </c>
      <c r="D82" s="11" t="s">
        <v>15</v>
      </c>
      <c r="E82" s="10">
        <v>9876501275</v>
      </c>
      <c r="F82" s="12">
        <v>46202</v>
      </c>
      <c r="G82" s="13">
        <v>0.81042824074074071</v>
      </c>
      <c r="H82" s="13">
        <v>0.83325231481481477</v>
      </c>
    </row>
    <row r="83" spans="1:8" x14ac:dyDescent="0.3">
      <c r="A83" s="10">
        <v>82</v>
      </c>
      <c r="B83" s="10" t="s">
        <v>211</v>
      </c>
      <c r="C83" s="11" t="s">
        <v>212</v>
      </c>
      <c r="D83" s="11" t="s">
        <v>19</v>
      </c>
      <c r="E83" s="10">
        <v>9876501276</v>
      </c>
      <c r="F83" s="12">
        <v>46202</v>
      </c>
      <c r="G83" s="13">
        <v>0.81049768518518517</v>
      </c>
      <c r="H83" s="13">
        <v>0.83331018518518518</v>
      </c>
    </row>
    <row r="84" spans="1:8" x14ac:dyDescent="0.3">
      <c r="A84" s="10">
        <v>83</v>
      </c>
      <c r="B84" s="10" t="s">
        <v>213</v>
      </c>
      <c r="C84" s="11" t="s">
        <v>214</v>
      </c>
      <c r="D84" s="11" t="s">
        <v>22</v>
      </c>
      <c r="E84" s="10">
        <v>9834512701</v>
      </c>
      <c r="F84" s="12">
        <v>46202</v>
      </c>
      <c r="G84" s="13">
        <v>0.81055555555555558</v>
      </c>
      <c r="H84" s="13">
        <v>0.83339120370370368</v>
      </c>
    </row>
    <row r="85" spans="1:8" x14ac:dyDescent="0.3">
      <c r="A85" s="10">
        <v>84</v>
      </c>
      <c r="B85" s="10" t="s">
        <v>219</v>
      </c>
      <c r="C85" s="11" t="s">
        <v>220</v>
      </c>
      <c r="D85" s="11" t="s">
        <v>20</v>
      </c>
      <c r="E85" s="10">
        <v>9834512703</v>
      </c>
      <c r="F85" s="12">
        <v>46202</v>
      </c>
      <c r="G85" s="13">
        <v>0.81071759259259257</v>
      </c>
      <c r="H85" s="13">
        <v>0.83353009259259259</v>
      </c>
    </row>
    <row r="86" spans="1:8" x14ac:dyDescent="0.3">
      <c r="A86" s="10">
        <v>85</v>
      </c>
      <c r="B86" s="10" t="s">
        <v>222</v>
      </c>
      <c r="C86" s="11" t="s">
        <v>223</v>
      </c>
      <c r="D86" s="11" t="s">
        <v>21</v>
      </c>
      <c r="E86" s="10">
        <v>9834512704</v>
      </c>
      <c r="F86" s="12">
        <v>46202</v>
      </c>
      <c r="G86" s="13">
        <v>0.81077546296296299</v>
      </c>
      <c r="H86" s="13">
        <v>0.83381944444444445</v>
      </c>
    </row>
    <row r="87" spans="1:8" x14ac:dyDescent="0.3">
      <c r="A87" s="10">
        <v>86</v>
      </c>
      <c r="B87" s="10" t="s">
        <v>225</v>
      </c>
      <c r="C87" s="11" t="s">
        <v>226</v>
      </c>
      <c r="D87" s="11" t="s">
        <v>16</v>
      </c>
      <c r="E87" s="10">
        <v>9834512705</v>
      </c>
      <c r="F87" s="12">
        <v>46202</v>
      </c>
      <c r="G87" s="13">
        <v>0.81083333333333329</v>
      </c>
      <c r="H87" s="13">
        <v>0.8338888888888889</v>
      </c>
    </row>
    <row r="88" spans="1:8" x14ac:dyDescent="0.3">
      <c r="A88" s="10">
        <v>87</v>
      </c>
      <c r="B88" s="10" t="s">
        <v>228</v>
      </c>
      <c r="C88" s="11" t="s">
        <v>229</v>
      </c>
      <c r="D88" s="11" t="s">
        <v>15</v>
      </c>
      <c r="E88" s="10">
        <v>9834512706</v>
      </c>
      <c r="F88" s="12">
        <v>46202</v>
      </c>
      <c r="G88" s="13">
        <v>0.81090277777777775</v>
      </c>
      <c r="H88" s="13">
        <v>0.83394675925925921</v>
      </c>
    </row>
    <row r="89" spans="1:8" x14ac:dyDescent="0.3">
      <c r="A89" s="10">
        <v>88</v>
      </c>
      <c r="B89" s="10" t="s">
        <v>231</v>
      </c>
      <c r="C89" s="11" t="s">
        <v>232</v>
      </c>
      <c r="D89" s="11" t="s">
        <v>12</v>
      </c>
      <c r="E89" s="10">
        <v>9834512707</v>
      </c>
      <c r="F89" s="12">
        <v>46202</v>
      </c>
      <c r="G89" s="13">
        <v>0.81099537037037039</v>
      </c>
      <c r="H89" s="13">
        <v>0.83400462962962962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Settings</vt:lpstr>
      <vt:lpstr>Home</vt:lpstr>
      <vt:lpstr>Dashboard</vt:lpstr>
      <vt:lpstr>Pivot</vt:lpstr>
      <vt:lpstr>Student_Data</vt:lpstr>
      <vt:lpstr>Student_Entry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sangle</dc:creator>
  <cp:lastModifiedBy>ankit sangle</cp:lastModifiedBy>
  <dcterms:created xsi:type="dcterms:W3CDTF">2026-06-06T07:01:22Z</dcterms:created>
  <dcterms:modified xsi:type="dcterms:W3CDTF">2026-06-30T08:00:35Z</dcterms:modified>
</cp:coreProperties>
</file>